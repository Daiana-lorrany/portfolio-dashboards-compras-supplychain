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sta\Desktop\Dashboard de Gestão de Compras e Suprimentos\"/>
    </mc:Choice>
  </mc:AlternateContent>
  <xr:revisionPtr revIDLastSave="0" documentId="13_ncr:1_{76566D24-1F2C-4371-AE39-10B57FA2464B}" xr6:coauthVersionLast="47" xr6:coauthVersionMax="47" xr10:uidLastSave="{00000000-0000-0000-0000-000000000000}"/>
  <bookViews>
    <workbookView xWindow="-108" yWindow="-108" windowWidth="23256" windowHeight="12456" xr2:uid="{B52F189A-0833-4190-AC83-D3EF7DB18505}"/>
  </bookViews>
  <sheets>
    <sheet name="Base pedi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51" i="1" l="1"/>
  <c r="Q251" i="1"/>
  <c r="P251" i="1"/>
  <c r="N251" i="1"/>
  <c r="M251" i="1"/>
  <c r="O251" i="1" s="1"/>
  <c r="R250" i="1"/>
  <c r="Q250" i="1"/>
  <c r="P250" i="1"/>
  <c r="N250" i="1"/>
  <c r="M250" i="1"/>
  <c r="O250" i="1" s="1"/>
  <c r="R249" i="1"/>
  <c r="Q249" i="1"/>
  <c r="P249" i="1"/>
  <c r="N249" i="1"/>
  <c r="M249" i="1"/>
  <c r="O249" i="1" s="1"/>
  <c r="R248" i="1"/>
  <c r="Q248" i="1"/>
  <c r="P248" i="1"/>
  <c r="N248" i="1"/>
  <c r="M248" i="1"/>
  <c r="O248" i="1" s="1"/>
  <c r="R247" i="1"/>
  <c r="Q247" i="1"/>
  <c r="P247" i="1"/>
  <c r="N247" i="1"/>
  <c r="M247" i="1"/>
  <c r="O247" i="1" s="1"/>
  <c r="R246" i="1"/>
  <c r="Q246" i="1"/>
  <c r="P246" i="1"/>
  <c r="N246" i="1"/>
  <c r="M246" i="1"/>
  <c r="O246" i="1" s="1"/>
  <c r="R245" i="1"/>
  <c r="Q245" i="1"/>
  <c r="P245" i="1"/>
  <c r="N245" i="1"/>
  <c r="M245" i="1"/>
  <c r="O245" i="1" s="1"/>
  <c r="R244" i="1"/>
  <c r="Q244" i="1"/>
  <c r="P244" i="1"/>
  <c r="N244" i="1"/>
  <c r="M244" i="1"/>
  <c r="O244" i="1" s="1"/>
  <c r="R243" i="1"/>
  <c r="Q243" i="1"/>
  <c r="P243" i="1"/>
  <c r="N243" i="1"/>
  <c r="M243" i="1"/>
  <c r="O243" i="1" s="1"/>
  <c r="R242" i="1"/>
  <c r="Q242" i="1"/>
  <c r="P242" i="1"/>
  <c r="N242" i="1"/>
  <c r="M242" i="1"/>
  <c r="O242" i="1" s="1"/>
  <c r="R241" i="1"/>
  <c r="Q241" i="1"/>
  <c r="P241" i="1"/>
  <c r="N241" i="1"/>
  <c r="M241" i="1"/>
  <c r="O241" i="1" s="1"/>
  <c r="R240" i="1"/>
  <c r="Q240" i="1"/>
  <c r="P240" i="1"/>
  <c r="N240" i="1"/>
  <c r="M240" i="1"/>
  <c r="O240" i="1" s="1"/>
  <c r="R239" i="1"/>
  <c r="Q239" i="1"/>
  <c r="P239" i="1"/>
  <c r="N239" i="1"/>
  <c r="M239" i="1"/>
  <c r="O239" i="1" s="1"/>
  <c r="R238" i="1"/>
  <c r="Q238" i="1"/>
  <c r="P238" i="1"/>
  <c r="N238" i="1"/>
  <c r="M238" i="1"/>
  <c r="O238" i="1" s="1"/>
  <c r="R237" i="1"/>
  <c r="Q237" i="1"/>
  <c r="P237" i="1"/>
  <c r="N237" i="1"/>
  <c r="M237" i="1"/>
  <c r="O237" i="1" s="1"/>
  <c r="R236" i="1"/>
  <c r="Q236" i="1"/>
  <c r="P236" i="1"/>
  <c r="N236" i="1"/>
  <c r="M236" i="1"/>
  <c r="O236" i="1" s="1"/>
  <c r="R235" i="1"/>
  <c r="Q235" i="1"/>
  <c r="P235" i="1"/>
  <c r="N235" i="1"/>
  <c r="M235" i="1"/>
  <c r="O235" i="1" s="1"/>
  <c r="R234" i="1"/>
  <c r="Q234" i="1"/>
  <c r="P234" i="1"/>
  <c r="N234" i="1"/>
  <c r="M234" i="1"/>
  <c r="O234" i="1" s="1"/>
  <c r="R233" i="1"/>
  <c r="Q233" i="1"/>
  <c r="P233" i="1"/>
  <c r="N233" i="1"/>
  <c r="M233" i="1"/>
  <c r="O233" i="1" s="1"/>
  <c r="R232" i="1"/>
  <c r="Q232" i="1"/>
  <c r="P232" i="1"/>
  <c r="N232" i="1"/>
  <c r="M232" i="1"/>
  <c r="O232" i="1" s="1"/>
  <c r="R231" i="1"/>
  <c r="Q231" i="1"/>
  <c r="P231" i="1"/>
  <c r="N231" i="1"/>
  <c r="M231" i="1"/>
  <c r="O231" i="1" s="1"/>
  <c r="R230" i="1"/>
  <c r="Q230" i="1"/>
  <c r="P230" i="1"/>
  <c r="N230" i="1"/>
  <c r="M230" i="1"/>
  <c r="O230" i="1" s="1"/>
  <c r="R229" i="1"/>
  <c r="Q229" i="1"/>
  <c r="P229" i="1"/>
  <c r="N229" i="1"/>
  <c r="M229" i="1"/>
  <c r="O229" i="1" s="1"/>
  <c r="R228" i="1"/>
  <c r="Q228" i="1"/>
  <c r="P228" i="1"/>
  <c r="N228" i="1"/>
  <c r="M228" i="1"/>
  <c r="O228" i="1" s="1"/>
  <c r="R227" i="1"/>
  <c r="Q227" i="1"/>
  <c r="P227" i="1"/>
  <c r="N227" i="1"/>
  <c r="M227" i="1"/>
  <c r="O227" i="1" s="1"/>
  <c r="R226" i="1"/>
  <c r="Q226" i="1"/>
  <c r="P226" i="1"/>
  <c r="N226" i="1"/>
  <c r="M226" i="1"/>
  <c r="O226" i="1" s="1"/>
  <c r="R225" i="1"/>
  <c r="Q225" i="1"/>
  <c r="P225" i="1"/>
  <c r="N225" i="1"/>
  <c r="M225" i="1"/>
  <c r="O225" i="1" s="1"/>
  <c r="R224" i="1"/>
  <c r="Q224" i="1"/>
  <c r="P224" i="1"/>
  <c r="N224" i="1"/>
  <c r="M224" i="1"/>
  <c r="O224" i="1" s="1"/>
  <c r="R223" i="1"/>
  <c r="Q223" i="1"/>
  <c r="P223" i="1"/>
  <c r="N223" i="1"/>
  <c r="M223" i="1"/>
  <c r="O223" i="1" s="1"/>
  <c r="R222" i="1"/>
  <c r="Q222" i="1"/>
  <c r="P222" i="1"/>
  <c r="N222" i="1"/>
  <c r="M222" i="1"/>
  <c r="O222" i="1" s="1"/>
  <c r="R221" i="1"/>
  <c r="Q221" i="1"/>
  <c r="P221" i="1"/>
  <c r="N221" i="1"/>
  <c r="M221" i="1"/>
  <c r="O221" i="1" s="1"/>
  <c r="R220" i="1"/>
  <c r="Q220" i="1"/>
  <c r="P220" i="1"/>
  <c r="N220" i="1"/>
  <c r="M220" i="1"/>
  <c r="O220" i="1" s="1"/>
  <c r="R219" i="1"/>
  <c r="Q219" i="1"/>
  <c r="P219" i="1"/>
  <c r="N219" i="1"/>
  <c r="M219" i="1"/>
  <c r="O219" i="1" s="1"/>
  <c r="R218" i="1"/>
  <c r="Q218" i="1"/>
  <c r="P218" i="1"/>
  <c r="N218" i="1"/>
  <c r="M218" i="1"/>
  <c r="O218" i="1" s="1"/>
  <c r="R217" i="1"/>
  <c r="Q217" i="1"/>
  <c r="P217" i="1"/>
  <c r="N217" i="1"/>
  <c r="M217" i="1"/>
  <c r="O217" i="1" s="1"/>
  <c r="R216" i="1"/>
  <c r="Q216" i="1"/>
  <c r="P216" i="1"/>
  <c r="N216" i="1"/>
  <c r="M216" i="1"/>
  <c r="O216" i="1" s="1"/>
  <c r="R215" i="1"/>
  <c r="Q215" i="1"/>
  <c r="P215" i="1"/>
  <c r="N215" i="1"/>
  <c r="M215" i="1"/>
  <c r="O215" i="1" s="1"/>
  <c r="R214" i="1"/>
  <c r="Q214" i="1"/>
  <c r="P214" i="1"/>
  <c r="N214" i="1"/>
  <c r="M214" i="1"/>
  <c r="O214" i="1" s="1"/>
  <c r="R213" i="1"/>
  <c r="Q213" i="1"/>
  <c r="P213" i="1"/>
  <c r="N213" i="1"/>
  <c r="M213" i="1"/>
  <c r="O213" i="1" s="1"/>
  <c r="R212" i="1"/>
  <c r="Q212" i="1"/>
  <c r="P212" i="1"/>
  <c r="N212" i="1"/>
  <c r="M212" i="1"/>
  <c r="O212" i="1" s="1"/>
  <c r="R211" i="1"/>
  <c r="Q211" i="1"/>
  <c r="P211" i="1"/>
  <c r="N211" i="1"/>
  <c r="M211" i="1"/>
  <c r="O211" i="1" s="1"/>
  <c r="R210" i="1"/>
  <c r="Q210" i="1"/>
  <c r="P210" i="1"/>
  <c r="N210" i="1"/>
  <c r="M210" i="1"/>
  <c r="O210" i="1" s="1"/>
  <c r="R209" i="1"/>
  <c r="Q209" i="1"/>
  <c r="P209" i="1"/>
  <c r="N209" i="1"/>
  <c r="M209" i="1"/>
  <c r="O209" i="1" s="1"/>
  <c r="R208" i="1"/>
  <c r="Q208" i="1"/>
  <c r="P208" i="1"/>
  <c r="N208" i="1"/>
  <c r="M208" i="1"/>
  <c r="O208" i="1" s="1"/>
  <c r="R207" i="1"/>
  <c r="Q207" i="1"/>
  <c r="P207" i="1"/>
  <c r="N207" i="1"/>
  <c r="M207" i="1"/>
  <c r="O207" i="1" s="1"/>
  <c r="R206" i="1"/>
  <c r="Q206" i="1"/>
  <c r="P206" i="1"/>
  <c r="N206" i="1"/>
  <c r="M206" i="1"/>
  <c r="O206" i="1" s="1"/>
  <c r="R205" i="1"/>
  <c r="Q205" i="1"/>
  <c r="P205" i="1"/>
  <c r="N205" i="1"/>
  <c r="M205" i="1"/>
  <c r="O205" i="1" s="1"/>
  <c r="R204" i="1"/>
  <c r="Q204" i="1"/>
  <c r="P204" i="1"/>
  <c r="N204" i="1"/>
  <c r="M204" i="1"/>
  <c r="O204" i="1" s="1"/>
  <c r="R203" i="1"/>
  <c r="Q203" i="1"/>
  <c r="P203" i="1"/>
  <c r="N203" i="1"/>
  <c r="M203" i="1"/>
  <c r="O203" i="1" s="1"/>
  <c r="R202" i="1"/>
  <c r="Q202" i="1"/>
  <c r="P202" i="1"/>
  <c r="N202" i="1"/>
  <c r="M202" i="1"/>
  <c r="O202" i="1" s="1"/>
  <c r="R201" i="1"/>
  <c r="Q201" i="1"/>
  <c r="P201" i="1"/>
  <c r="N201" i="1"/>
  <c r="M201" i="1"/>
  <c r="O201" i="1" s="1"/>
  <c r="R200" i="1"/>
  <c r="Q200" i="1"/>
  <c r="P200" i="1"/>
  <c r="N200" i="1"/>
  <c r="M200" i="1"/>
  <c r="O200" i="1" s="1"/>
  <c r="R199" i="1"/>
  <c r="Q199" i="1"/>
  <c r="P199" i="1"/>
  <c r="N199" i="1"/>
  <c r="M199" i="1"/>
  <c r="O199" i="1" s="1"/>
  <c r="R198" i="1"/>
  <c r="Q198" i="1"/>
  <c r="P198" i="1"/>
  <c r="N198" i="1"/>
  <c r="M198" i="1"/>
  <c r="O198" i="1" s="1"/>
  <c r="R197" i="1"/>
  <c r="Q197" i="1"/>
  <c r="P197" i="1"/>
  <c r="N197" i="1"/>
  <c r="M197" i="1"/>
  <c r="O197" i="1" s="1"/>
  <c r="R196" i="1"/>
  <c r="Q196" i="1"/>
  <c r="P196" i="1"/>
  <c r="N196" i="1"/>
  <c r="M196" i="1"/>
  <c r="O196" i="1" s="1"/>
  <c r="R195" i="1"/>
  <c r="Q195" i="1"/>
  <c r="P195" i="1"/>
  <c r="N195" i="1"/>
  <c r="M195" i="1"/>
  <c r="O195" i="1" s="1"/>
  <c r="R194" i="1"/>
  <c r="Q194" i="1"/>
  <c r="P194" i="1"/>
  <c r="N194" i="1"/>
  <c r="M194" i="1"/>
  <c r="O194" i="1" s="1"/>
  <c r="R193" i="1"/>
  <c r="Q193" i="1"/>
  <c r="P193" i="1"/>
  <c r="N193" i="1"/>
  <c r="M193" i="1"/>
  <c r="O193" i="1" s="1"/>
  <c r="R192" i="1"/>
  <c r="Q192" i="1"/>
  <c r="P192" i="1"/>
  <c r="N192" i="1"/>
  <c r="M192" i="1"/>
  <c r="O192" i="1" s="1"/>
  <c r="R191" i="1"/>
  <c r="Q191" i="1"/>
  <c r="P191" i="1"/>
  <c r="N191" i="1"/>
  <c r="M191" i="1"/>
  <c r="O191" i="1" s="1"/>
  <c r="R190" i="1"/>
  <c r="Q190" i="1"/>
  <c r="P190" i="1"/>
  <c r="N190" i="1"/>
  <c r="M190" i="1"/>
  <c r="O190" i="1" s="1"/>
  <c r="R189" i="1"/>
  <c r="Q189" i="1"/>
  <c r="P189" i="1"/>
  <c r="N189" i="1"/>
  <c r="M189" i="1"/>
  <c r="O189" i="1" s="1"/>
  <c r="R188" i="1"/>
  <c r="Q188" i="1"/>
  <c r="P188" i="1"/>
  <c r="N188" i="1"/>
  <c r="M188" i="1"/>
  <c r="O188" i="1" s="1"/>
  <c r="R187" i="1"/>
  <c r="Q187" i="1"/>
  <c r="P187" i="1"/>
  <c r="N187" i="1"/>
  <c r="M187" i="1"/>
  <c r="O187" i="1" s="1"/>
  <c r="R186" i="1"/>
  <c r="Q186" i="1"/>
  <c r="P186" i="1"/>
  <c r="N186" i="1"/>
  <c r="M186" i="1"/>
  <c r="O186" i="1" s="1"/>
  <c r="R185" i="1"/>
  <c r="Q185" i="1"/>
  <c r="P185" i="1"/>
  <c r="N185" i="1"/>
  <c r="M185" i="1"/>
  <c r="O185" i="1" s="1"/>
  <c r="R184" i="1"/>
  <c r="Q184" i="1"/>
  <c r="P184" i="1"/>
  <c r="N184" i="1"/>
  <c r="M184" i="1"/>
  <c r="O184" i="1" s="1"/>
  <c r="R183" i="1"/>
  <c r="Q183" i="1"/>
  <c r="P183" i="1"/>
  <c r="N183" i="1"/>
  <c r="M183" i="1"/>
  <c r="O183" i="1" s="1"/>
  <c r="R182" i="1"/>
  <c r="Q182" i="1"/>
  <c r="P182" i="1"/>
  <c r="N182" i="1"/>
  <c r="M182" i="1"/>
  <c r="O182" i="1" s="1"/>
  <c r="R181" i="1"/>
  <c r="Q181" i="1"/>
  <c r="P181" i="1"/>
  <c r="N181" i="1"/>
  <c r="M181" i="1"/>
  <c r="O181" i="1" s="1"/>
  <c r="R180" i="1"/>
  <c r="Q180" i="1"/>
  <c r="P180" i="1"/>
  <c r="N180" i="1"/>
  <c r="M180" i="1"/>
  <c r="O180" i="1" s="1"/>
  <c r="R179" i="1"/>
  <c r="Q179" i="1"/>
  <c r="P179" i="1"/>
  <c r="N179" i="1"/>
  <c r="M179" i="1"/>
  <c r="O179" i="1" s="1"/>
  <c r="R178" i="1"/>
  <c r="Q178" i="1"/>
  <c r="P178" i="1"/>
  <c r="N178" i="1"/>
  <c r="M178" i="1"/>
  <c r="O178" i="1" s="1"/>
  <c r="R177" i="1"/>
  <c r="Q177" i="1"/>
  <c r="P177" i="1"/>
  <c r="N177" i="1"/>
  <c r="M177" i="1"/>
  <c r="O177" i="1" s="1"/>
  <c r="R176" i="1"/>
  <c r="Q176" i="1"/>
  <c r="P176" i="1"/>
  <c r="N176" i="1"/>
  <c r="M176" i="1"/>
  <c r="O176" i="1" s="1"/>
  <c r="R175" i="1"/>
  <c r="Q175" i="1"/>
  <c r="P175" i="1"/>
  <c r="N175" i="1"/>
  <c r="M175" i="1"/>
  <c r="O175" i="1" s="1"/>
  <c r="R174" i="1"/>
  <c r="Q174" i="1"/>
  <c r="P174" i="1"/>
  <c r="N174" i="1"/>
  <c r="M174" i="1"/>
  <c r="O174" i="1" s="1"/>
  <c r="R173" i="1"/>
  <c r="Q173" i="1"/>
  <c r="P173" i="1"/>
  <c r="N173" i="1"/>
  <c r="M173" i="1"/>
  <c r="O173" i="1" s="1"/>
  <c r="R172" i="1"/>
  <c r="Q172" i="1"/>
  <c r="P172" i="1"/>
  <c r="N172" i="1"/>
  <c r="M172" i="1"/>
  <c r="O172" i="1" s="1"/>
  <c r="R171" i="1"/>
  <c r="Q171" i="1"/>
  <c r="P171" i="1"/>
  <c r="N171" i="1"/>
  <c r="M171" i="1"/>
  <c r="O171" i="1" s="1"/>
  <c r="R170" i="1"/>
  <c r="Q170" i="1"/>
  <c r="P170" i="1"/>
  <c r="N170" i="1"/>
  <c r="M170" i="1"/>
  <c r="O170" i="1" s="1"/>
  <c r="R169" i="1"/>
  <c r="Q169" i="1"/>
  <c r="P169" i="1"/>
  <c r="N169" i="1"/>
  <c r="M169" i="1"/>
  <c r="O169" i="1" s="1"/>
  <c r="R168" i="1"/>
  <c r="Q168" i="1"/>
  <c r="P168" i="1"/>
  <c r="N168" i="1"/>
  <c r="M168" i="1"/>
  <c r="O168" i="1" s="1"/>
  <c r="R167" i="1"/>
  <c r="Q167" i="1"/>
  <c r="P167" i="1"/>
  <c r="N167" i="1"/>
  <c r="M167" i="1"/>
  <c r="O167" i="1" s="1"/>
  <c r="R166" i="1"/>
  <c r="Q166" i="1"/>
  <c r="P166" i="1"/>
  <c r="N166" i="1"/>
  <c r="M166" i="1"/>
  <c r="O166" i="1" s="1"/>
  <c r="R165" i="1"/>
  <c r="Q165" i="1"/>
  <c r="P165" i="1"/>
  <c r="N165" i="1"/>
  <c r="M165" i="1"/>
  <c r="O165" i="1" s="1"/>
  <c r="R164" i="1"/>
  <c r="Q164" i="1"/>
  <c r="P164" i="1"/>
  <c r="N164" i="1"/>
  <c r="M164" i="1"/>
  <c r="O164" i="1" s="1"/>
  <c r="R163" i="1"/>
  <c r="Q163" i="1"/>
  <c r="P163" i="1"/>
  <c r="N163" i="1"/>
  <c r="M163" i="1"/>
  <c r="O163" i="1" s="1"/>
  <c r="R162" i="1"/>
  <c r="Q162" i="1"/>
  <c r="P162" i="1"/>
  <c r="N162" i="1"/>
  <c r="M162" i="1"/>
  <c r="O162" i="1" s="1"/>
  <c r="R161" i="1"/>
  <c r="Q161" i="1"/>
  <c r="P161" i="1"/>
  <c r="N161" i="1"/>
  <c r="M161" i="1"/>
  <c r="O161" i="1" s="1"/>
  <c r="R160" i="1"/>
  <c r="Q160" i="1"/>
  <c r="P160" i="1"/>
  <c r="N160" i="1"/>
  <c r="M160" i="1"/>
  <c r="O160" i="1" s="1"/>
  <c r="R159" i="1"/>
  <c r="Q159" i="1"/>
  <c r="P159" i="1"/>
  <c r="N159" i="1"/>
  <c r="M159" i="1"/>
  <c r="O159" i="1" s="1"/>
  <c r="R158" i="1"/>
  <c r="Q158" i="1"/>
  <c r="P158" i="1"/>
  <c r="N158" i="1"/>
  <c r="M158" i="1"/>
  <c r="O158" i="1" s="1"/>
  <c r="R157" i="1"/>
  <c r="Q157" i="1"/>
  <c r="P157" i="1"/>
  <c r="N157" i="1"/>
  <c r="M157" i="1"/>
  <c r="O157" i="1" s="1"/>
  <c r="R156" i="1"/>
  <c r="Q156" i="1"/>
  <c r="P156" i="1"/>
  <c r="N156" i="1"/>
  <c r="M156" i="1"/>
  <c r="O156" i="1" s="1"/>
  <c r="R155" i="1"/>
  <c r="Q155" i="1"/>
  <c r="P155" i="1"/>
  <c r="N155" i="1"/>
  <c r="M155" i="1"/>
  <c r="O155" i="1" s="1"/>
  <c r="R154" i="1"/>
  <c r="Q154" i="1"/>
  <c r="P154" i="1"/>
  <c r="N154" i="1"/>
  <c r="M154" i="1"/>
  <c r="O154" i="1" s="1"/>
  <c r="R153" i="1"/>
  <c r="Q153" i="1"/>
  <c r="P153" i="1"/>
  <c r="N153" i="1"/>
  <c r="M153" i="1"/>
  <c r="O153" i="1" s="1"/>
  <c r="R152" i="1"/>
  <c r="Q152" i="1"/>
  <c r="P152" i="1"/>
  <c r="N152" i="1"/>
  <c r="M152" i="1"/>
  <c r="O152" i="1" s="1"/>
  <c r="R151" i="1"/>
  <c r="Q151" i="1"/>
  <c r="P151" i="1"/>
  <c r="N151" i="1"/>
  <c r="M151" i="1"/>
  <c r="O151" i="1" s="1"/>
  <c r="R150" i="1"/>
  <c r="Q150" i="1"/>
  <c r="P150" i="1"/>
  <c r="N150" i="1"/>
  <c r="M150" i="1"/>
  <c r="O150" i="1" s="1"/>
  <c r="R149" i="1"/>
  <c r="Q149" i="1"/>
  <c r="P149" i="1"/>
  <c r="N149" i="1"/>
  <c r="M149" i="1"/>
  <c r="O149" i="1" s="1"/>
  <c r="R148" i="1"/>
  <c r="Q148" i="1"/>
  <c r="P148" i="1"/>
  <c r="N148" i="1"/>
  <c r="M148" i="1"/>
  <c r="O148" i="1" s="1"/>
  <c r="R147" i="1"/>
  <c r="Q147" i="1"/>
  <c r="P147" i="1"/>
  <c r="N147" i="1"/>
  <c r="M147" i="1"/>
  <c r="O147" i="1" s="1"/>
  <c r="R146" i="1"/>
  <c r="Q146" i="1"/>
  <c r="P146" i="1"/>
  <c r="N146" i="1"/>
  <c r="M146" i="1"/>
  <c r="O146" i="1" s="1"/>
  <c r="R145" i="1"/>
  <c r="Q145" i="1"/>
  <c r="P145" i="1"/>
  <c r="N145" i="1"/>
  <c r="M145" i="1"/>
  <c r="O145" i="1" s="1"/>
  <c r="R144" i="1"/>
  <c r="Q144" i="1"/>
  <c r="P144" i="1"/>
  <c r="N144" i="1"/>
  <c r="M144" i="1"/>
  <c r="O144" i="1" s="1"/>
  <c r="R143" i="1"/>
  <c r="Q143" i="1"/>
  <c r="P143" i="1"/>
  <c r="N143" i="1"/>
  <c r="M143" i="1"/>
  <c r="O143" i="1" s="1"/>
  <c r="R142" i="1"/>
  <c r="Q142" i="1"/>
  <c r="P142" i="1"/>
  <c r="N142" i="1"/>
  <c r="M142" i="1"/>
  <c r="O142" i="1" s="1"/>
  <c r="R141" i="1"/>
  <c r="Q141" i="1"/>
  <c r="P141" i="1"/>
  <c r="N141" i="1"/>
  <c r="M141" i="1"/>
  <c r="O141" i="1" s="1"/>
  <c r="R140" i="1"/>
  <c r="Q140" i="1"/>
  <c r="P140" i="1"/>
  <c r="N140" i="1"/>
  <c r="M140" i="1"/>
  <c r="O140" i="1" s="1"/>
  <c r="R139" i="1"/>
  <c r="Q139" i="1"/>
  <c r="P139" i="1"/>
  <c r="N139" i="1"/>
  <c r="M139" i="1"/>
  <c r="O139" i="1" s="1"/>
  <c r="R138" i="1"/>
  <c r="Q138" i="1"/>
  <c r="P138" i="1"/>
  <c r="N138" i="1"/>
  <c r="M138" i="1"/>
  <c r="O138" i="1" s="1"/>
  <c r="R137" i="1"/>
  <c r="Q137" i="1"/>
  <c r="P137" i="1"/>
  <c r="N137" i="1"/>
  <c r="M137" i="1"/>
  <c r="O137" i="1" s="1"/>
  <c r="R136" i="1"/>
  <c r="Q136" i="1"/>
  <c r="P136" i="1"/>
  <c r="N136" i="1"/>
  <c r="M136" i="1"/>
  <c r="O136" i="1" s="1"/>
  <c r="R135" i="1"/>
  <c r="Q135" i="1"/>
  <c r="P135" i="1"/>
  <c r="N135" i="1"/>
  <c r="M135" i="1"/>
  <c r="O135" i="1" s="1"/>
  <c r="R134" i="1"/>
  <c r="Q134" i="1"/>
  <c r="P134" i="1"/>
  <c r="N134" i="1"/>
  <c r="M134" i="1"/>
  <c r="O134" i="1" s="1"/>
  <c r="R133" i="1"/>
  <c r="Q133" i="1"/>
  <c r="P133" i="1"/>
  <c r="N133" i="1"/>
  <c r="M133" i="1"/>
  <c r="O133" i="1" s="1"/>
  <c r="R132" i="1"/>
  <c r="Q132" i="1"/>
  <c r="P132" i="1"/>
  <c r="N132" i="1"/>
  <c r="M132" i="1"/>
  <c r="O132" i="1" s="1"/>
  <c r="R131" i="1"/>
  <c r="Q131" i="1"/>
  <c r="P131" i="1"/>
  <c r="N131" i="1"/>
  <c r="M131" i="1"/>
  <c r="O131" i="1" s="1"/>
  <c r="R130" i="1"/>
  <c r="Q130" i="1"/>
  <c r="P130" i="1"/>
  <c r="N130" i="1"/>
  <c r="M130" i="1"/>
  <c r="O130" i="1" s="1"/>
  <c r="R129" i="1"/>
  <c r="Q129" i="1"/>
  <c r="P129" i="1"/>
  <c r="N129" i="1"/>
  <c r="M129" i="1"/>
  <c r="O129" i="1" s="1"/>
  <c r="R128" i="1"/>
  <c r="Q128" i="1"/>
  <c r="P128" i="1"/>
  <c r="N128" i="1"/>
  <c r="M128" i="1"/>
  <c r="O128" i="1" s="1"/>
  <c r="R127" i="1"/>
  <c r="Q127" i="1"/>
  <c r="P127" i="1"/>
  <c r="N127" i="1"/>
  <c r="M127" i="1"/>
  <c r="O127" i="1" s="1"/>
  <c r="R126" i="1"/>
  <c r="Q126" i="1"/>
  <c r="P126" i="1"/>
  <c r="N126" i="1"/>
  <c r="M126" i="1"/>
  <c r="O126" i="1" s="1"/>
  <c r="R125" i="1"/>
  <c r="Q125" i="1"/>
  <c r="P125" i="1"/>
  <c r="N125" i="1"/>
  <c r="M125" i="1"/>
  <c r="O125" i="1" s="1"/>
  <c r="R124" i="1"/>
  <c r="Q124" i="1"/>
  <c r="P124" i="1"/>
  <c r="N124" i="1"/>
  <c r="M124" i="1"/>
  <c r="O124" i="1" s="1"/>
  <c r="R123" i="1"/>
  <c r="Q123" i="1"/>
  <c r="P123" i="1"/>
  <c r="N123" i="1"/>
  <c r="M123" i="1"/>
  <c r="O123" i="1" s="1"/>
  <c r="R122" i="1"/>
  <c r="Q122" i="1"/>
  <c r="P122" i="1"/>
  <c r="N122" i="1"/>
  <c r="M122" i="1"/>
  <c r="O122" i="1" s="1"/>
  <c r="R121" i="1"/>
  <c r="Q121" i="1"/>
  <c r="P121" i="1"/>
  <c r="N121" i="1"/>
  <c r="M121" i="1"/>
  <c r="O121" i="1" s="1"/>
  <c r="R120" i="1"/>
  <c r="Q120" i="1"/>
  <c r="P120" i="1"/>
  <c r="N120" i="1"/>
  <c r="M120" i="1"/>
  <c r="O120" i="1" s="1"/>
  <c r="R119" i="1"/>
  <c r="Q119" i="1"/>
  <c r="P119" i="1"/>
  <c r="N119" i="1"/>
  <c r="M119" i="1"/>
  <c r="O119" i="1" s="1"/>
  <c r="R118" i="1"/>
  <c r="Q118" i="1"/>
  <c r="P118" i="1"/>
  <c r="N118" i="1"/>
  <c r="M118" i="1"/>
  <c r="O118" i="1" s="1"/>
  <c r="R117" i="1"/>
  <c r="Q117" i="1"/>
  <c r="P117" i="1"/>
  <c r="N117" i="1"/>
  <c r="M117" i="1"/>
  <c r="O117" i="1" s="1"/>
  <c r="R116" i="1"/>
  <c r="Q116" i="1"/>
  <c r="P116" i="1"/>
  <c r="N116" i="1"/>
  <c r="M116" i="1"/>
  <c r="O116" i="1" s="1"/>
  <c r="R115" i="1"/>
  <c r="Q115" i="1"/>
  <c r="P115" i="1"/>
  <c r="N115" i="1"/>
  <c r="M115" i="1"/>
  <c r="O115" i="1" s="1"/>
  <c r="R114" i="1"/>
  <c r="Q114" i="1"/>
  <c r="P114" i="1"/>
  <c r="N114" i="1"/>
  <c r="M114" i="1"/>
  <c r="O114" i="1" s="1"/>
  <c r="R113" i="1"/>
  <c r="Q113" i="1"/>
  <c r="P113" i="1"/>
  <c r="N113" i="1"/>
  <c r="M113" i="1"/>
  <c r="O113" i="1" s="1"/>
  <c r="R112" i="1"/>
  <c r="Q112" i="1"/>
  <c r="P112" i="1"/>
  <c r="N112" i="1"/>
  <c r="M112" i="1"/>
  <c r="O112" i="1" s="1"/>
  <c r="R111" i="1"/>
  <c r="Q111" i="1"/>
  <c r="P111" i="1"/>
  <c r="N111" i="1"/>
  <c r="M111" i="1"/>
  <c r="O111" i="1" s="1"/>
  <c r="R110" i="1"/>
  <c r="Q110" i="1"/>
  <c r="P110" i="1"/>
  <c r="N110" i="1"/>
  <c r="M110" i="1"/>
  <c r="O110" i="1" s="1"/>
  <c r="R109" i="1"/>
  <c r="Q109" i="1"/>
  <c r="P109" i="1"/>
  <c r="N109" i="1"/>
  <c r="M109" i="1"/>
  <c r="O109" i="1" s="1"/>
  <c r="R108" i="1"/>
  <c r="Q108" i="1"/>
  <c r="P108" i="1"/>
  <c r="N108" i="1"/>
  <c r="M108" i="1"/>
  <c r="O108" i="1" s="1"/>
  <c r="R107" i="1"/>
  <c r="Q107" i="1"/>
  <c r="P107" i="1"/>
  <c r="N107" i="1"/>
  <c r="M107" i="1"/>
  <c r="O107" i="1" s="1"/>
  <c r="R106" i="1"/>
  <c r="Q106" i="1"/>
  <c r="P106" i="1"/>
  <c r="N106" i="1"/>
  <c r="M106" i="1"/>
  <c r="O106" i="1" s="1"/>
  <c r="R105" i="1"/>
  <c r="Q105" i="1"/>
  <c r="P105" i="1"/>
  <c r="N105" i="1"/>
  <c r="M105" i="1"/>
  <c r="O105" i="1" s="1"/>
  <c r="R104" i="1"/>
  <c r="Q104" i="1"/>
  <c r="P104" i="1"/>
  <c r="N104" i="1"/>
  <c r="M104" i="1"/>
  <c r="O104" i="1" s="1"/>
  <c r="R103" i="1"/>
  <c r="Q103" i="1"/>
  <c r="P103" i="1"/>
  <c r="N103" i="1"/>
  <c r="M103" i="1"/>
  <c r="O103" i="1" s="1"/>
  <c r="R102" i="1"/>
  <c r="Q102" i="1"/>
  <c r="P102" i="1"/>
  <c r="N102" i="1"/>
  <c r="M102" i="1"/>
  <c r="O102" i="1" s="1"/>
  <c r="R101" i="1"/>
  <c r="Q101" i="1"/>
  <c r="P101" i="1"/>
  <c r="N101" i="1"/>
  <c r="M101" i="1"/>
  <c r="O101" i="1" s="1"/>
  <c r="R100" i="1"/>
  <c r="Q100" i="1"/>
  <c r="P100" i="1"/>
  <c r="N100" i="1"/>
  <c r="M100" i="1"/>
  <c r="O100" i="1" s="1"/>
  <c r="R99" i="1"/>
  <c r="Q99" i="1"/>
  <c r="P99" i="1"/>
  <c r="N99" i="1"/>
  <c r="M99" i="1"/>
  <c r="O99" i="1" s="1"/>
  <c r="R98" i="1"/>
  <c r="Q98" i="1"/>
  <c r="P98" i="1"/>
  <c r="N98" i="1"/>
  <c r="M98" i="1"/>
  <c r="O98" i="1" s="1"/>
  <c r="R97" i="1"/>
  <c r="Q97" i="1"/>
  <c r="P97" i="1"/>
  <c r="N97" i="1"/>
  <c r="M97" i="1"/>
  <c r="O97" i="1" s="1"/>
  <c r="R96" i="1"/>
  <c r="Q96" i="1"/>
  <c r="P96" i="1"/>
  <c r="N96" i="1"/>
  <c r="M96" i="1"/>
  <c r="O96" i="1" s="1"/>
  <c r="R95" i="1"/>
  <c r="Q95" i="1"/>
  <c r="P95" i="1"/>
  <c r="N95" i="1"/>
  <c r="M95" i="1"/>
  <c r="O95" i="1" s="1"/>
  <c r="R94" i="1"/>
  <c r="Q94" i="1"/>
  <c r="P94" i="1"/>
  <c r="N94" i="1"/>
  <c r="M94" i="1"/>
  <c r="O94" i="1" s="1"/>
  <c r="R93" i="1"/>
  <c r="Q93" i="1"/>
  <c r="P93" i="1"/>
  <c r="N93" i="1"/>
  <c r="M93" i="1"/>
  <c r="O93" i="1" s="1"/>
  <c r="R92" i="1"/>
  <c r="Q92" i="1"/>
  <c r="P92" i="1"/>
  <c r="N92" i="1"/>
  <c r="M92" i="1"/>
  <c r="O92" i="1" s="1"/>
  <c r="R91" i="1"/>
  <c r="Q91" i="1"/>
  <c r="P91" i="1"/>
  <c r="N91" i="1"/>
  <c r="M91" i="1"/>
  <c r="O91" i="1" s="1"/>
  <c r="R90" i="1"/>
  <c r="Q90" i="1"/>
  <c r="P90" i="1"/>
  <c r="N90" i="1"/>
  <c r="M90" i="1"/>
  <c r="O90" i="1" s="1"/>
  <c r="R89" i="1"/>
  <c r="Q89" i="1"/>
  <c r="P89" i="1"/>
  <c r="N89" i="1"/>
  <c r="M89" i="1"/>
  <c r="O89" i="1" s="1"/>
  <c r="R88" i="1"/>
  <c r="Q88" i="1"/>
  <c r="P88" i="1"/>
  <c r="N88" i="1"/>
  <c r="M88" i="1"/>
  <c r="O88" i="1" s="1"/>
  <c r="R87" i="1"/>
  <c r="Q87" i="1"/>
  <c r="P87" i="1"/>
  <c r="N87" i="1"/>
  <c r="M87" i="1"/>
  <c r="O87" i="1" s="1"/>
  <c r="R86" i="1"/>
  <c r="Q86" i="1"/>
  <c r="P86" i="1"/>
  <c r="N86" i="1"/>
  <c r="M86" i="1"/>
  <c r="O86" i="1" s="1"/>
  <c r="R85" i="1"/>
  <c r="Q85" i="1"/>
  <c r="P85" i="1"/>
  <c r="N85" i="1"/>
  <c r="M85" i="1"/>
  <c r="O85" i="1" s="1"/>
  <c r="R84" i="1"/>
  <c r="Q84" i="1"/>
  <c r="P84" i="1"/>
  <c r="N84" i="1"/>
  <c r="M84" i="1"/>
  <c r="O84" i="1" s="1"/>
  <c r="R83" i="1"/>
  <c r="Q83" i="1"/>
  <c r="P83" i="1"/>
  <c r="N83" i="1"/>
  <c r="M83" i="1"/>
  <c r="O83" i="1" s="1"/>
  <c r="R82" i="1"/>
  <c r="Q82" i="1"/>
  <c r="P82" i="1"/>
  <c r="N82" i="1"/>
  <c r="M82" i="1"/>
  <c r="O82" i="1" s="1"/>
  <c r="R81" i="1"/>
  <c r="Q81" i="1"/>
  <c r="P81" i="1"/>
  <c r="N81" i="1"/>
  <c r="M81" i="1"/>
  <c r="O81" i="1" s="1"/>
  <c r="R80" i="1"/>
  <c r="Q80" i="1"/>
  <c r="P80" i="1"/>
  <c r="N80" i="1"/>
  <c r="M80" i="1"/>
  <c r="O80" i="1" s="1"/>
  <c r="R79" i="1"/>
  <c r="Q79" i="1"/>
  <c r="P79" i="1"/>
  <c r="N79" i="1"/>
  <c r="M79" i="1"/>
  <c r="O79" i="1" s="1"/>
  <c r="R78" i="1"/>
  <c r="Q78" i="1"/>
  <c r="P78" i="1"/>
  <c r="N78" i="1"/>
  <c r="M78" i="1"/>
  <c r="O78" i="1" s="1"/>
  <c r="R77" i="1"/>
  <c r="Q77" i="1"/>
  <c r="P77" i="1"/>
  <c r="N77" i="1"/>
  <c r="M77" i="1"/>
  <c r="O77" i="1" s="1"/>
  <c r="R76" i="1"/>
  <c r="Q76" i="1"/>
  <c r="P76" i="1"/>
  <c r="N76" i="1"/>
  <c r="M76" i="1"/>
  <c r="O76" i="1" s="1"/>
  <c r="R75" i="1"/>
  <c r="Q75" i="1"/>
  <c r="P75" i="1"/>
  <c r="N75" i="1"/>
  <c r="M75" i="1"/>
  <c r="O75" i="1" s="1"/>
  <c r="R74" i="1"/>
  <c r="Q74" i="1"/>
  <c r="P74" i="1"/>
  <c r="N74" i="1"/>
  <c r="M74" i="1"/>
  <c r="O74" i="1" s="1"/>
  <c r="R73" i="1"/>
  <c r="Q73" i="1"/>
  <c r="P73" i="1"/>
  <c r="N73" i="1"/>
  <c r="M73" i="1"/>
  <c r="O73" i="1" s="1"/>
  <c r="R72" i="1"/>
  <c r="Q72" i="1"/>
  <c r="P72" i="1"/>
  <c r="N72" i="1"/>
  <c r="M72" i="1"/>
  <c r="O72" i="1" s="1"/>
  <c r="R71" i="1"/>
  <c r="Q71" i="1"/>
  <c r="P71" i="1"/>
  <c r="N71" i="1"/>
  <c r="M71" i="1"/>
  <c r="O71" i="1" s="1"/>
  <c r="R70" i="1"/>
  <c r="Q70" i="1"/>
  <c r="P70" i="1"/>
  <c r="N70" i="1"/>
  <c r="M70" i="1"/>
  <c r="O70" i="1" s="1"/>
  <c r="R69" i="1"/>
  <c r="Q69" i="1"/>
  <c r="P69" i="1"/>
  <c r="N69" i="1"/>
  <c r="M69" i="1"/>
  <c r="O69" i="1" s="1"/>
  <c r="R68" i="1"/>
  <c r="Q68" i="1"/>
  <c r="P68" i="1"/>
  <c r="N68" i="1"/>
  <c r="M68" i="1"/>
  <c r="O68" i="1" s="1"/>
  <c r="R67" i="1"/>
  <c r="Q67" i="1"/>
  <c r="P67" i="1"/>
  <c r="N67" i="1"/>
  <c r="M67" i="1"/>
  <c r="O67" i="1" s="1"/>
  <c r="R66" i="1"/>
  <c r="Q66" i="1"/>
  <c r="P66" i="1"/>
  <c r="N66" i="1"/>
  <c r="M66" i="1"/>
  <c r="O66" i="1" s="1"/>
  <c r="R65" i="1"/>
  <c r="Q65" i="1"/>
  <c r="P65" i="1"/>
  <c r="N65" i="1"/>
  <c r="M65" i="1"/>
  <c r="O65" i="1" s="1"/>
  <c r="R64" i="1"/>
  <c r="Q64" i="1"/>
  <c r="P64" i="1"/>
  <c r="N64" i="1"/>
  <c r="M64" i="1"/>
  <c r="O64" i="1" s="1"/>
  <c r="R63" i="1"/>
  <c r="Q63" i="1"/>
  <c r="P63" i="1"/>
  <c r="N63" i="1"/>
  <c r="M63" i="1"/>
  <c r="O63" i="1" s="1"/>
  <c r="R62" i="1"/>
  <c r="Q62" i="1"/>
  <c r="P62" i="1"/>
  <c r="N62" i="1"/>
  <c r="M62" i="1"/>
  <c r="O62" i="1" s="1"/>
  <c r="R61" i="1"/>
  <c r="Q61" i="1"/>
  <c r="P61" i="1"/>
  <c r="N61" i="1"/>
  <c r="M61" i="1"/>
  <c r="O61" i="1" s="1"/>
  <c r="R60" i="1"/>
  <c r="Q60" i="1"/>
  <c r="P60" i="1"/>
  <c r="N60" i="1"/>
  <c r="M60" i="1"/>
  <c r="O60" i="1" s="1"/>
  <c r="R59" i="1"/>
  <c r="Q59" i="1"/>
  <c r="P59" i="1"/>
  <c r="N59" i="1"/>
  <c r="M59" i="1"/>
  <c r="O59" i="1" s="1"/>
  <c r="R58" i="1"/>
  <c r="Q58" i="1"/>
  <c r="P58" i="1"/>
  <c r="N58" i="1"/>
  <c r="M58" i="1"/>
  <c r="O58" i="1" s="1"/>
  <c r="R57" i="1"/>
  <c r="Q57" i="1"/>
  <c r="P57" i="1"/>
  <c r="N57" i="1"/>
  <c r="M57" i="1"/>
  <c r="O57" i="1" s="1"/>
  <c r="R56" i="1"/>
  <c r="Q56" i="1"/>
  <c r="P56" i="1"/>
  <c r="N56" i="1"/>
  <c r="M56" i="1"/>
  <c r="O56" i="1" s="1"/>
  <c r="R55" i="1"/>
  <c r="Q55" i="1"/>
  <c r="P55" i="1"/>
  <c r="N55" i="1"/>
  <c r="M55" i="1"/>
  <c r="O55" i="1" s="1"/>
  <c r="R54" i="1"/>
  <c r="Q54" i="1"/>
  <c r="P54" i="1"/>
  <c r="N54" i="1"/>
  <c r="M54" i="1"/>
  <c r="O54" i="1" s="1"/>
  <c r="R53" i="1"/>
  <c r="Q53" i="1"/>
  <c r="P53" i="1"/>
  <c r="N53" i="1"/>
  <c r="M53" i="1"/>
  <c r="O53" i="1" s="1"/>
  <c r="R52" i="1"/>
  <c r="Q52" i="1"/>
  <c r="P52" i="1"/>
  <c r="N52" i="1"/>
  <c r="M52" i="1"/>
  <c r="O52" i="1" s="1"/>
  <c r="R51" i="1"/>
  <c r="Q51" i="1"/>
  <c r="P51" i="1"/>
  <c r="N51" i="1"/>
  <c r="M51" i="1"/>
  <c r="O51" i="1" s="1"/>
  <c r="R50" i="1"/>
  <c r="Q50" i="1"/>
  <c r="P50" i="1"/>
  <c r="N50" i="1"/>
  <c r="M50" i="1"/>
  <c r="O50" i="1" s="1"/>
  <c r="R49" i="1"/>
  <c r="Q49" i="1"/>
  <c r="P49" i="1"/>
  <c r="N49" i="1"/>
  <c r="M49" i="1"/>
  <c r="O49" i="1" s="1"/>
  <c r="R48" i="1"/>
  <c r="Q48" i="1"/>
  <c r="P48" i="1"/>
  <c r="N48" i="1"/>
  <c r="M48" i="1"/>
  <c r="O48" i="1" s="1"/>
  <c r="R47" i="1"/>
  <c r="Q47" i="1"/>
  <c r="P47" i="1"/>
  <c r="N47" i="1"/>
  <c r="M47" i="1"/>
  <c r="O47" i="1" s="1"/>
  <c r="R46" i="1"/>
  <c r="Q46" i="1"/>
  <c r="P46" i="1"/>
  <c r="N46" i="1"/>
  <c r="M46" i="1"/>
  <c r="O46" i="1" s="1"/>
  <c r="R45" i="1"/>
  <c r="Q45" i="1"/>
  <c r="P45" i="1"/>
  <c r="N45" i="1"/>
  <c r="M45" i="1"/>
  <c r="O45" i="1" s="1"/>
  <c r="R44" i="1"/>
  <c r="Q44" i="1"/>
  <c r="P44" i="1"/>
  <c r="N44" i="1"/>
  <c r="M44" i="1"/>
  <c r="O44" i="1" s="1"/>
  <c r="R43" i="1"/>
  <c r="Q43" i="1"/>
  <c r="P43" i="1"/>
  <c r="N43" i="1"/>
  <c r="M43" i="1"/>
  <c r="O43" i="1" s="1"/>
  <c r="R42" i="1"/>
  <c r="Q42" i="1"/>
  <c r="P42" i="1"/>
  <c r="N42" i="1"/>
  <c r="M42" i="1"/>
  <c r="O42" i="1" s="1"/>
  <c r="R41" i="1"/>
  <c r="Q41" i="1"/>
  <c r="P41" i="1"/>
  <c r="N41" i="1"/>
  <c r="M41" i="1"/>
  <c r="O41" i="1" s="1"/>
  <c r="R40" i="1"/>
  <c r="Q40" i="1"/>
  <c r="P40" i="1"/>
  <c r="N40" i="1"/>
  <c r="M40" i="1"/>
  <c r="O40" i="1" s="1"/>
  <c r="R39" i="1"/>
  <c r="Q39" i="1"/>
  <c r="P39" i="1"/>
  <c r="N39" i="1"/>
  <c r="M39" i="1"/>
  <c r="O39" i="1" s="1"/>
  <c r="R38" i="1"/>
  <c r="Q38" i="1"/>
  <c r="P38" i="1"/>
  <c r="N38" i="1"/>
  <c r="M38" i="1"/>
  <c r="O38" i="1" s="1"/>
  <c r="R37" i="1"/>
  <c r="Q37" i="1"/>
  <c r="P37" i="1"/>
  <c r="N37" i="1"/>
  <c r="M37" i="1"/>
  <c r="O37" i="1" s="1"/>
  <c r="R36" i="1"/>
  <c r="Q36" i="1"/>
  <c r="P36" i="1"/>
  <c r="N36" i="1"/>
  <c r="M36" i="1"/>
  <c r="O36" i="1" s="1"/>
  <c r="R35" i="1"/>
  <c r="Q35" i="1"/>
  <c r="P35" i="1"/>
  <c r="N35" i="1"/>
  <c r="M35" i="1"/>
  <c r="O35" i="1" s="1"/>
  <c r="R34" i="1"/>
  <c r="Q34" i="1"/>
  <c r="P34" i="1"/>
  <c r="N34" i="1"/>
  <c r="M34" i="1"/>
  <c r="O34" i="1" s="1"/>
  <c r="R33" i="1"/>
  <c r="Q33" i="1"/>
  <c r="P33" i="1"/>
  <c r="N33" i="1"/>
  <c r="M33" i="1"/>
  <c r="O33" i="1" s="1"/>
  <c r="R32" i="1"/>
  <c r="Q32" i="1"/>
  <c r="P32" i="1"/>
  <c r="N32" i="1"/>
  <c r="M32" i="1"/>
  <c r="O32" i="1" s="1"/>
  <c r="R31" i="1"/>
  <c r="Q31" i="1"/>
  <c r="P31" i="1"/>
  <c r="N31" i="1"/>
  <c r="M31" i="1"/>
  <c r="O31" i="1" s="1"/>
  <c r="R30" i="1"/>
  <c r="Q30" i="1"/>
  <c r="P30" i="1"/>
  <c r="N30" i="1"/>
  <c r="M30" i="1"/>
  <c r="O30" i="1" s="1"/>
  <c r="R29" i="1"/>
  <c r="Q29" i="1"/>
  <c r="P29" i="1"/>
  <c r="N29" i="1"/>
  <c r="M29" i="1"/>
  <c r="O29" i="1" s="1"/>
  <c r="R28" i="1"/>
  <c r="Q28" i="1"/>
  <c r="P28" i="1"/>
  <c r="N28" i="1"/>
  <c r="M28" i="1"/>
  <c r="O28" i="1" s="1"/>
  <c r="R27" i="1"/>
  <c r="Q27" i="1"/>
  <c r="P27" i="1"/>
  <c r="N27" i="1"/>
  <c r="M27" i="1"/>
  <c r="O27" i="1" s="1"/>
  <c r="R26" i="1"/>
  <c r="Q26" i="1"/>
  <c r="P26" i="1"/>
  <c r="N26" i="1"/>
  <c r="M26" i="1"/>
  <c r="O26" i="1" s="1"/>
  <c r="R25" i="1"/>
  <c r="Q25" i="1"/>
  <c r="P25" i="1"/>
  <c r="N25" i="1"/>
  <c r="M25" i="1"/>
  <c r="O25" i="1" s="1"/>
  <c r="R24" i="1"/>
  <c r="Q24" i="1"/>
  <c r="P24" i="1"/>
  <c r="N24" i="1"/>
  <c r="M24" i="1"/>
  <c r="O24" i="1" s="1"/>
  <c r="R23" i="1"/>
  <c r="Q23" i="1"/>
  <c r="P23" i="1"/>
  <c r="N23" i="1"/>
  <c r="M23" i="1"/>
  <c r="O23" i="1" s="1"/>
  <c r="R22" i="1"/>
  <c r="Q22" i="1"/>
  <c r="P22" i="1"/>
  <c r="N22" i="1"/>
  <c r="M22" i="1"/>
  <c r="O22" i="1" s="1"/>
  <c r="R21" i="1"/>
  <c r="Q21" i="1"/>
  <c r="P21" i="1"/>
  <c r="N21" i="1"/>
  <c r="M21" i="1"/>
  <c r="O21" i="1" s="1"/>
  <c r="R20" i="1"/>
  <c r="Q20" i="1"/>
  <c r="P20" i="1"/>
  <c r="N20" i="1"/>
  <c r="M20" i="1"/>
  <c r="O20" i="1" s="1"/>
  <c r="R19" i="1"/>
  <c r="Q19" i="1"/>
  <c r="P19" i="1"/>
  <c r="N19" i="1"/>
  <c r="M19" i="1"/>
  <c r="O19" i="1" s="1"/>
  <c r="R18" i="1"/>
  <c r="Q18" i="1"/>
  <c r="P18" i="1"/>
  <c r="N18" i="1"/>
  <c r="M18" i="1"/>
  <c r="O18" i="1" s="1"/>
  <c r="R17" i="1"/>
  <c r="Q17" i="1"/>
  <c r="P17" i="1"/>
  <c r="N17" i="1"/>
  <c r="M17" i="1"/>
  <c r="O17" i="1" s="1"/>
  <c r="R16" i="1"/>
  <c r="Q16" i="1"/>
  <c r="P16" i="1"/>
  <c r="N16" i="1"/>
  <c r="M16" i="1"/>
  <c r="O16" i="1" s="1"/>
  <c r="R15" i="1"/>
  <c r="Q15" i="1"/>
  <c r="P15" i="1"/>
  <c r="N15" i="1"/>
  <c r="M15" i="1"/>
  <c r="O15" i="1" s="1"/>
  <c r="R14" i="1"/>
  <c r="Q14" i="1"/>
  <c r="P14" i="1"/>
  <c r="N14" i="1"/>
  <c r="M14" i="1"/>
  <c r="O14" i="1" s="1"/>
  <c r="R13" i="1"/>
  <c r="Q13" i="1"/>
  <c r="P13" i="1"/>
  <c r="N13" i="1"/>
  <c r="M13" i="1"/>
  <c r="O13" i="1" s="1"/>
  <c r="R12" i="1"/>
  <c r="Q12" i="1"/>
  <c r="P12" i="1"/>
  <c r="N12" i="1"/>
  <c r="M12" i="1"/>
  <c r="O12" i="1" s="1"/>
  <c r="R11" i="1"/>
  <c r="Q11" i="1"/>
  <c r="P11" i="1"/>
  <c r="N11" i="1"/>
  <c r="M11" i="1"/>
  <c r="O11" i="1" s="1"/>
  <c r="R10" i="1"/>
  <c r="Q10" i="1"/>
  <c r="P10" i="1"/>
  <c r="N10" i="1"/>
  <c r="M10" i="1"/>
  <c r="O10" i="1" s="1"/>
  <c r="R9" i="1"/>
  <c r="Q9" i="1"/>
  <c r="P9" i="1"/>
  <c r="N9" i="1"/>
  <c r="M9" i="1"/>
  <c r="O9" i="1" s="1"/>
  <c r="R8" i="1"/>
  <c r="Q8" i="1"/>
  <c r="P8" i="1"/>
  <c r="N8" i="1"/>
  <c r="M8" i="1"/>
  <c r="O8" i="1" s="1"/>
  <c r="R7" i="1"/>
  <c r="Q7" i="1"/>
  <c r="P7" i="1"/>
  <c r="N7" i="1"/>
  <c r="M7" i="1"/>
  <c r="O7" i="1" s="1"/>
  <c r="R6" i="1"/>
  <c r="Q6" i="1"/>
  <c r="P6" i="1"/>
  <c r="N6" i="1"/>
  <c r="M6" i="1"/>
  <c r="O6" i="1" s="1"/>
  <c r="R5" i="1"/>
  <c r="Q5" i="1"/>
  <c r="P5" i="1"/>
  <c r="N5" i="1"/>
  <c r="M5" i="1"/>
  <c r="O5" i="1" s="1"/>
  <c r="R4" i="1"/>
  <c r="Q4" i="1"/>
  <c r="P4" i="1"/>
  <c r="N4" i="1"/>
  <c r="M4" i="1"/>
  <c r="O4" i="1" s="1"/>
  <c r="R3" i="1"/>
  <c r="Q3" i="1"/>
  <c r="P3" i="1"/>
  <c r="N3" i="1"/>
  <c r="M3" i="1"/>
  <c r="O3" i="1" s="1"/>
  <c r="R2" i="1"/>
  <c r="Q2" i="1"/>
  <c r="P2" i="1"/>
  <c r="N2" i="1"/>
  <c r="M2" i="1"/>
  <c r="O2" i="1" s="1"/>
</calcChain>
</file>

<file path=xl/sharedStrings.xml><?xml version="1.0" encoding="utf-8"?>
<sst xmlns="http://schemas.openxmlformats.org/spreadsheetml/2006/main" count="1268" uniqueCount="327">
  <si>
    <t>ID Pedido</t>
  </si>
  <si>
    <t>Data Emissão</t>
  </si>
  <si>
    <t>Data Previsão Entrega</t>
  </si>
  <si>
    <t>Data Real Entrega</t>
  </si>
  <si>
    <t>Setor / Categoria</t>
  </si>
  <si>
    <t>Produto / Insumo</t>
  </si>
  <si>
    <t>Comprador</t>
  </si>
  <si>
    <t>Fornecedor</t>
  </si>
  <si>
    <t>Qtd Pedida</t>
  </si>
  <si>
    <t>Qtd Recebida</t>
  </si>
  <si>
    <t>Custo Prev. Unit (R$)</t>
  </si>
  <si>
    <t>Custo Real Unit (R$)</t>
  </si>
  <si>
    <t>Custo Previsto Total (R$)</t>
  </si>
  <si>
    <t>Custo Realizado Total (R$)</t>
  </si>
  <si>
    <t>Economia Total (R$)</t>
  </si>
  <si>
    <t>Lead Time Real (Dias)</t>
  </si>
  <si>
    <t>Status Entrega</t>
  </si>
  <si>
    <t>Status Completude</t>
  </si>
  <si>
    <t>PED-2024-0119</t>
  </si>
  <si>
    <t>Manutenção &amp; Operação</t>
  </si>
  <si>
    <t>Sensor Fotoelétrico Industrial</t>
  </si>
  <si>
    <t>Mariana Santos</t>
  </si>
  <si>
    <t>Braskem Polímeros</t>
  </si>
  <si>
    <t>PED-2021-0028</t>
  </si>
  <si>
    <t>Insumos de TI &amp; Galpão</t>
  </si>
  <si>
    <t>Cartucho Impressora Inkjet Industrial</t>
  </si>
  <si>
    <t>Roberto Oliveira</t>
  </si>
  <si>
    <t>Avery Dennison</t>
  </si>
  <si>
    <t>PED-2022-0189</t>
  </si>
  <si>
    <t>Tintas &amp; Químicos</t>
  </si>
  <si>
    <t>Verniz Sobretinta Alto Brilho</t>
  </si>
  <si>
    <t>Klabin S.A.</t>
  </si>
  <si>
    <t>PED-2022-0097</t>
  </si>
  <si>
    <t>Solvente de Limpeza Industrial</t>
  </si>
  <si>
    <t>Carlos Eduardo Silva</t>
  </si>
  <si>
    <t>Apex Tool Group</t>
  </si>
  <si>
    <t>PED-2022-0021</t>
  </si>
  <si>
    <t>Papelão &amp; Celulose</t>
  </si>
  <si>
    <t>Papel Miolo Semi-Químico 110g</t>
  </si>
  <si>
    <t>3M do Brasil</t>
  </si>
  <si>
    <t>PED-2023-0014</t>
  </si>
  <si>
    <t>Chapa de Papelão Duplo Onda BC</t>
  </si>
  <si>
    <t>Siegwerk Tintas do Brasil</t>
  </si>
  <si>
    <t>PED-2023-0054</t>
  </si>
  <si>
    <t>Logística &amp; Paletização</t>
  </si>
  <si>
    <t>Cinta de Carga com Catraca 5T</t>
  </si>
  <si>
    <t>PED-2023-0194</t>
  </si>
  <si>
    <t>Óleo Lubrificante Sintético ISO 220</t>
  </si>
  <si>
    <t>Brametal Insumos</t>
  </si>
  <si>
    <t>PED-2024-0051</t>
  </si>
  <si>
    <t>Kit Reparo Cilindro Pneumático</t>
  </si>
  <si>
    <t>Lucas Mendes</t>
  </si>
  <si>
    <t>PED-2021-0088</t>
  </si>
  <si>
    <t>Videojet Tecnologias</t>
  </si>
  <si>
    <t>PED-2023-0114</t>
  </si>
  <si>
    <t>Plásticos &amp; Filmes</t>
  </si>
  <si>
    <t>Filme Poliolefínico Encolhível 15mic</t>
  </si>
  <si>
    <t>Paletes Brasil Ltda</t>
  </si>
  <si>
    <t>PED-2023-0002</t>
  </si>
  <si>
    <t>Ipiranga Lubrificantes</t>
  </si>
  <si>
    <t>PED-2024-0175</t>
  </si>
  <si>
    <t>Palete PBR Madeira Tratada HT</t>
  </si>
  <si>
    <t>PED-2021-0084</t>
  </si>
  <si>
    <t>Adesivo PVA Amido para Onduladeira</t>
  </si>
  <si>
    <t>Fernanda Lima</t>
  </si>
  <si>
    <t>PED-2023-0146</t>
  </si>
  <si>
    <t>Segurança &amp; Pessoal</t>
  </si>
  <si>
    <t>Protetor Auricular Plug Cordelete</t>
  </si>
  <si>
    <t>PED-2023-0234</t>
  </si>
  <si>
    <t>Filme Stretch Automático Nano 17mic</t>
  </si>
  <si>
    <t>PED-2022-0237</t>
  </si>
  <si>
    <t>Luva Nitrílica de Proteção Kevlar</t>
  </si>
  <si>
    <t>PED-2022-0169</t>
  </si>
  <si>
    <t>Lâmina de Corte e Vinco 23.8mm</t>
  </si>
  <si>
    <t>PED-2023-0118</t>
  </si>
  <si>
    <t>Plástico Bolha 1,30m x 100m</t>
  </si>
  <si>
    <t>PED-2021-0112</t>
  </si>
  <si>
    <t>PED-2024-0023</t>
  </si>
  <si>
    <t>Caixa Plástica Agrícola Vazada</t>
  </si>
  <si>
    <t>PED-2022-0213</t>
  </si>
  <si>
    <t>PED-2023-0102</t>
  </si>
  <si>
    <t>Suzano Papel e Celulose</t>
  </si>
  <si>
    <t>PED-2024-0107</t>
  </si>
  <si>
    <t>PED-2021-0108</t>
  </si>
  <si>
    <t>PED-2024-0195</t>
  </si>
  <si>
    <t>PED-2022-0017</t>
  </si>
  <si>
    <t>Etiqueta Térmica 100x150mm (Rolo)</t>
  </si>
  <si>
    <t>PED-2021-0232</t>
  </si>
  <si>
    <t>Borealis Plastico</t>
  </si>
  <si>
    <t>PED-2021-0056</t>
  </si>
  <si>
    <t>PED-2023-0126</t>
  </si>
  <si>
    <t>PED-2024-0219</t>
  </si>
  <si>
    <t>Tinta Flexográfica Base Água Preta</t>
  </si>
  <si>
    <t>PED-2023-0122</t>
  </si>
  <si>
    <t>PED-2021-0024</t>
  </si>
  <si>
    <t>PED-2023-0162</t>
  </si>
  <si>
    <t>Tubete de Papelão 3 polegadas</t>
  </si>
  <si>
    <t>PED-2023-0242</t>
  </si>
  <si>
    <t>Ribbon Cera/Resina 110mm x 74m</t>
  </si>
  <si>
    <t>PED-2024-0155</t>
  </si>
  <si>
    <t>Óculos de Segurança Anti-risco</t>
  </si>
  <si>
    <t>PED-2024-0115</t>
  </si>
  <si>
    <t>PED-2023-0062</t>
  </si>
  <si>
    <t>PED-2024-0111</t>
  </si>
  <si>
    <t>PED-2021-0004</t>
  </si>
  <si>
    <t>PED-2023-0182</t>
  </si>
  <si>
    <t>PED-2022-0133</t>
  </si>
  <si>
    <t>PED-2021-0192</t>
  </si>
  <si>
    <t>PED-2021-0096</t>
  </si>
  <si>
    <t>PED-2022-0037</t>
  </si>
  <si>
    <t>PED-2021-0068</t>
  </si>
  <si>
    <t>PED-2024-0015</t>
  </si>
  <si>
    <t>PED-2022-0065</t>
  </si>
  <si>
    <t>Tinta Flexográfica Base Água Cyan</t>
  </si>
  <si>
    <t>PED-2022-0157</t>
  </si>
  <si>
    <t>PED-2023-0026</t>
  </si>
  <si>
    <t>Coletor de Dados Zebra TC21</t>
  </si>
  <si>
    <t>PED-2023-0226</t>
  </si>
  <si>
    <t>PED-2021-0172</t>
  </si>
  <si>
    <t>PED-2022-0081</t>
  </si>
  <si>
    <t>Correia Corrugada de Alta Tração</t>
  </si>
  <si>
    <t>PED-2023-0130</t>
  </si>
  <si>
    <t>PED-2023-0238</t>
  </si>
  <si>
    <t>PED-2021-0184</t>
  </si>
  <si>
    <t>PED-2021-0044</t>
  </si>
  <si>
    <t>Uniforme Brim Profissional Conjunto</t>
  </si>
  <si>
    <t>PED-2022-0149</t>
  </si>
  <si>
    <t>Cantoneira de Prensado 50x50mm</t>
  </si>
  <si>
    <t>PED-2024-0203</t>
  </si>
  <si>
    <t>PED-2021-0188</t>
  </si>
  <si>
    <t>PED-2021-0240</t>
  </si>
  <si>
    <t>PED-2022-0061</t>
  </si>
  <si>
    <t>PED-2024-0215</t>
  </si>
  <si>
    <t>PED-2024-0239</t>
  </si>
  <si>
    <t>PED-2023-0042</t>
  </si>
  <si>
    <t>Resina Polietileno (PEBD) Virgem</t>
  </si>
  <si>
    <t>PED-2024-0091</t>
  </si>
  <si>
    <t>PED-2022-0249</t>
  </si>
  <si>
    <t>PED-2022-0029</t>
  </si>
  <si>
    <t>PED-2022-0093</t>
  </si>
  <si>
    <t>PED-2023-0138</t>
  </si>
  <si>
    <t>Bota de Segurança Bico de Aço</t>
  </si>
  <si>
    <t>PED-2021-0072</t>
  </si>
  <si>
    <t>PED-2021-0008</t>
  </si>
  <si>
    <t>PED-2024-0135</t>
  </si>
  <si>
    <t>PED-2022-0201</t>
  </si>
  <si>
    <t>PED-2022-0141</t>
  </si>
  <si>
    <t>PED-2022-0105</t>
  </si>
  <si>
    <t>PED-2024-0079</t>
  </si>
  <si>
    <t>PED-2023-0070</t>
  </si>
  <si>
    <t>Fita PP para Arqueação 13mm</t>
  </si>
  <si>
    <t>PED-2024-0199</t>
  </si>
  <si>
    <t>PED-2024-0103</t>
  </si>
  <si>
    <t>PED-2023-0178</t>
  </si>
  <si>
    <t>PED-2023-0198</t>
  </si>
  <si>
    <t>PED-2023-0074</t>
  </si>
  <si>
    <t>Papel Kraft 120g/m² (Bobina)</t>
  </si>
  <si>
    <t>PED-2024-0227</t>
  </si>
  <si>
    <t>PED-2022-0077</t>
  </si>
  <si>
    <t>PED-2021-0036</t>
  </si>
  <si>
    <t>PED-2023-0022</t>
  </si>
  <si>
    <t>PED-2023-0082</t>
  </si>
  <si>
    <t>PED-2024-0059</t>
  </si>
  <si>
    <t>PED-2023-0186</t>
  </si>
  <si>
    <t>PED-2021-0092</t>
  </si>
  <si>
    <t>PED-2023-0030</t>
  </si>
  <si>
    <t>PED-2021-0064</t>
  </si>
  <si>
    <t>PED-2024-0003</t>
  </si>
  <si>
    <t>PED-2021-0160</t>
  </si>
  <si>
    <t>PED-2024-0147</t>
  </si>
  <si>
    <t>PED-2021-0244</t>
  </si>
  <si>
    <t>Filme Stretch Manual 500mm 25mic</t>
  </si>
  <si>
    <t>PED-2024-0163</t>
  </si>
  <si>
    <t>PED-2021-0180</t>
  </si>
  <si>
    <t>PED-2022-0225</t>
  </si>
  <si>
    <t>PED-2023-0246</t>
  </si>
  <si>
    <t>PED-2022-0049</t>
  </si>
  <si>
    <t>PED-2022-0185</t>
  </si>
  <si>
    <t>PED-2021-0216</t>
  </si>
  <si>
    <t>PED-2021-0040</t>
  </si>
  <si>
    <t>PED-2021-0208</t>
  </si>
  <si>
    <t>PED-2023-0094</t>
  </si>
  <si>
    <t>PED-2024-0131</t>
  </si>
  <si>
    <t>PED-2022-0209</t>
  </si>
  <si>
    <t>PED-2024-0139</t>
  </si>
  <si>
    <t>PED-2024-0047</t>
  </si>
  <si>
    <t>PED-2021-0076</t>
  </si>
  <si>
    <t>PED-2021-0060</t>
  </si>
  <si>
    <t>PED-2022-0121</t>
  </si>
  <si>
    <t>PED-2021-0052</t>
  </si>
  <si>
    <t>PED-2023-0210</t>
  </si>
  <si>
    <t>PED-2024-0063</t>
  </si>
  <si>
    <t>PED-2022-0085</t>
  </si>
  <si>
    <t>PED-2023-0086</t>
  </si>
  <si>
    <t>PED-2021-0148</t>
  </si>
  <si>
    <t>PED-2024-0083</t>
  </si>
  <si>
    <t>PED-2021-0236</t>
  </si>
  <si>
    <t>PED-2024-0123</t>
  </si>
  <si>
    <t>PED-2023-0150</t>
  </si>
  <si>
    <t>PED-2021-0156</t>
  </si>
  <si>
    <t>PED-2023-0010</t>
  </si>
  <si>
    <t>PED-2021-0152</t>
  </si>
  <si>
    <t>PED-2024-0151</t>
  </si>
  <si>
    <t>PED-2022-0153</t>
  </si>
  <si>
    <t>PED-2023-0190</t>
  </si>
  <si>
    <t>PED-2022-0165</t>
  </si>
  <si>
    <t>PED-2021-0144</t>
  </si>
  <si>
    <t>PED-2023-0006</t>
  </si>
  <si>
    <t>PED-2021-0228</t>
  </si>
  <si>
    <t>PED-2021-0136</t>
  </si>
  <si>
    <t>PED-2023-0034</t>
  </si>
  <si>
    <t>PED-2022-0129</t>
  </si>
  <si>
    <t>PED-2021-0100</t>
  </si>
  <si>
    <t>PED-2024-0223</t>
  </si>
  <si>
    <t>PED-2022-0241</t>
  </si>
  <si>
    <t>PED-2022-0197</t>
  </si>
  <si>
    <t>PED-2023-0230</t>
  </si>
  <si>
    <t>PED-2022-0009</t>
  </si>
  <si>
    <t>Leitor Código de Barras Sem Fio</t>
  </si>
  <si>
    <t>PED-2024-0035</t>
  </si>
  <si>
    <t>PED-2024-0067</t>
  </si>
  <si>
    <t>PED-2022-0101</t>
  </si>
  <si>
    <t>PED-2022-0033</t>
  </si>
  <si>
    <t>PED-2021-0204</t>
  </si>
  <si>
    <t>PED-2022-0117</t>
  </si>
  <si>
    <t>PED-2023-0110</t>
  </si>
  <si>
    <t>PED-2024-0019</t>
  </si>
  <si>
    <t>PED-2022-0069</t>
  </si>
  <si>
    <t>PED-2022-0109</t>
  </si>
  <si>
    <t>PED-2024-0159</t>
  </si>
  <si>
    <t>PED-2021-0120</t>
  </si>
  <si>
    <t>Caixa Kraft Regular 40x30x30cm</t>
  </si>
  <si>
    <t>PED-2024-0231</t>
  </si>
  <si>
    <t>PED-2021-0200</t>
  </si>
  <si>
    <t>PED-2021-0140</t>
  </si>
  <si>
    <t>PED-2021-0196</t>
  </si>
  <si>
    <t>PED-2023-0046</t>
  </si>
  <si>
    <t>PED-2023-0058</t>
  </si>
  <si>
    <t>PED-2022-0177</t>
  </si>
  <si>
    <t>PED-2024-0235</t>
  </si>
  <si>
    <t>PED-2021-0124</t>
  </si>
  <si>
    <t>PED-2023-0090</t>
  </si>
  <si>
    <t>PED-2021-0048</t>
  </si>
  <si>
    <t>PED-2022-0125</t>
  </si>
  <si>
    <t>PED-2022-0053</t>
  </si>
  <si>
    <t>PED-2024-0075</t>
  </si>
  <si>
    <t>PED-2023-0098</t>
  </si>
  <si>
    <t>PED-2021-0176</t>
  </si>
  <si>
    <t>PED-2022-0173</t>
  </si>
  <si>
    <t>PED-2024-0183</t>
  </si>
  <si>
    <t>PED-2024-0207</t>
  </si>
  <si>
    <t>PED-2021-0164</t>
  </si>
  <si>
    <t>PED-2023-0050</t>
  </si>
  <si>
    <t>PED-2024-0211</t>
  </si>
  <si>
    <t>PED-2024-0043</t>
  </si>
  <si>
    <t>PED-2021-0168</t>
  </si>
  <si>
    <t>PED-2023-0078</t>
  </si>
  <si>
    <t>PED-2024-0167</t>
  </si>
  <si>
    <t>PED-2022-0217</t>
  </si>
  <si>
    <t>PED-2021-0128</t>
  </si>
  <si>
    <t>PED-2024-0027</t>
  </si>
  <si>
    <t>PED-2022-0013</t>
  </si>
  <si>
    <t>PED-2021-0132</t>
  </si>
  <si>
    <t>PED-2023-0106</t>
  </si>
  <si>
    <t>PED-2024-0143</t>
  </si>
  <si>
    <t>PED-2024-0007</t>
  </si>
  <si>
    <t>PED-2022-0205</t>
  </si>
  <si>
    <t>PED-2023-0214</t>
  </si>
  <si>
    <t>PED-2021-0020</t>
  </si>
  <si>
    <t>PED-2024-0191</t>
  </si>
  <si>
    <t>PED-2023-0018</t>
  </si>
  <si>
    <t>PED-2024-0095</t>
  </si>
  <si>
    <t>PED-2024-0031</t>
  </si>
  <si>
    <t>PED-2022-0145</t>
  </si>
  <si>
    <t>PED-2024-0039</t>
  </si>
  <si>
    <t>PED-2022-0137</t>
  </si>
  <si>
    <t>PED-2023-0202</t>
  </si>
  <si>
    <t>PED-2022-0113</t>
  </si>
  <si>
    <t>PED-2021-0224</t>
  </si>
  <si>
    <t>PED-2024-0179</t>
  </si>
  <si>
    <t>PED-2022-0245</t>
  </si>
  <si>
    <t>PED-2022-0181</t>
  </si>
  <si>
    <t>PED-2023-0250</t>
  </si>
  <si>
    <t>PED-2024-0247</t>
  </si>
  <si>
    <t>PED-2023-0066</t>
  </si>
  <si>
    <t>PED-2024-0243</t>
  </si>
  <si>
    <t>PED-2022-0193</t>
  </si>
  <si>
    <t>PED-2022-0161</t>
  </si>
  <si>
    <t>PED-2022-0045</t>
  </si>
  <si>
    <t>PED-2022-0221</t>
  </si>
  <si>
    <t>PED-2021-0104</t>
  </si>
  <si>
    <t>PED-2024-0011</t>
  </si>
  <si>
    <t>PED-2021-0116</t>
  </si>
  <si>
    <t>PED-2024-0171</t>
  </si>
  <si>
    <t>PED-2024-0055</t>
  </si>
  <si>
    <t>PED-2022-0089</t>
  </si>
  <si>
    <t>PED-2023-0166</t>
  </si>
  <si>
    <t>PED-2024-0087</t>
  </si>
  <si>
    <t>PED-2022-0025</t>
  </si>
  <si>
    <t>PED-2023-0170</t>
  </si>
  <si>
    <t>PED-2022-0005</t>
  </si>
  <si>
    <t>PED-2023-0142</t>
  </si>
  <si>
    <t>PED-2022-0001</t>
  </si>
  <si>
    <t>PED-2023-0158</t>
  </si>
  <si>
    <t>PED-2021-0080</t>
  </si>
  <si>
    <t>PED-2024-0099</t>
  </si>
  <si>
    <t>PED-2024-0127</t>
  </si>
  <si>
    <t>PED-2021-0248</t>
  </si>
  <si>
    <t>PED-2023-0174</t>
  </si>
  <si>
    <t>PED-2022-0041</t>
  </si>
  <si>
    <t>PED-2023-0222</t>
  </si>
  <si>
    <t>PED-2022-0057</t>
  </si>
  <si>
    <t>PED-2023-0038</t>
  </si>
  <si>
    <t>PED-2021-0212</t>
  </si>
  <si>
    <t>PED-2021-0016</t>
  </si>
  <si>
    <t>PED-2023-0206</t>
  </si>
  <si>
    <t>PED-2024-0187</t>
  </si>
  <si>
    <t>PED-2021-0012</t>
  </si>
  <si>
    <t>PED-2021-0032</t>
  </si>
  <si>
    <t>PED-2023-0218</t>
  </si>
  <si>
    <t>PED-2022-0073</t>
  </si>
  <si>
    <t>PED-2021-0220</t>
  </si>
  <si>
    <t>PED-2023-0134</t>
  </si>
  <si>
    <t>PED-2022-0229</t>
  </si>
  <si>
    <t>PED-2022-0233</t>
  </si>
  <si>
    <t>PED-2024-0071</t>
  </si>
  <si>
    <t>PED-2023-0154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</si>
</sst>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R\$\ #,##0.00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Segoe UI"/>
    </font>
    <font>
      <sz val="9"/>
      <color rgb="FF1E293B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</fills>
  <borders count="10">
    <border>
      <left/>
      <right/>
      <top/>
      <bottom/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164" fontId="2" fillId="0" borderId="5" xfId="0" applyNumberFormat="1" applyFont="1" applyBorder="1" applyAlignment="1">
      <alignment horizontal="center" vertical="center"/>
    </xf>
    <xf numFmtId="0" fontId="2" fillId="0" borderId="5" xfId="0" applyFont="1" applyBorder="1"/>
    <xf numFmtId="3" fontId="2" fillId="0" borderId="5" xfId="0" applyNumberFormat="1" applyFont="1" applyBorder="1" applyAlignment="1">
      <alignment horizontal="right" vertical="center"/>
    </xf>
    <xf numFmtId="165" fontId="2" fillId="0" borderId="5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/>
    <xf numFmtId="16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/>
    <xf numFmtId="3" fontId="2" fillId="0" borderId="8" xfId="0" applyNumberFormat="1" applyFont="1" applyBorder="1" applyAlignment="1">
      <alignment horizontal="right" vertical="center"/>
    </xf>
    <xf numFmtId="165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/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numFmt numFmtId="165" formatCode="\R\$\ #,##0.00"/>
      <alignment horizontal="righ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numFmt numFmtId="165" formatCode="\R\$\ #,##0.00"/>
      <alignment horizontal="righ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numFmt numFmtId="165" formatCode="\R\$\ #,##0.00"/>
      <alignment horizontal="righ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numFmt numFmtId="165" formatCode="\R\$\ #,##0.00"/>
      <alignment horizontal="righ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numFmt numFmtId="165" formatCode="\R\$\ #,##0.00"/>
      <alignment horizontal="righ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numFmt numFmtId="164" formatCode="yyyy\-mm\-dd"/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numFmt numFmtId="164" formatCode="yyyy\-mm\-dd"/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numFmt numFmtId="164" formatCode="yyyy\-mm\-dd"/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border diagonalUp="0" diagonalDown="0">
        <left/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top style="thin">
          <color rgb="FFD1D5DB"/>
        </top>
      </border>
    </dxf>
    <dxf>
      <border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E293B"/>
        <name val="Segoe U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rgb="FFD1D5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1B2A4A"/>
          <bgColor rgb="FF1B2A4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648C5-1215-4B4C-890F-713DCF740D63}" name="Tabela1" displayName="Tabela1" ref="A1:R251" totalsRowShown="0" headerRowDxfId="22" dataDxfId="20" headerRowBorderDxfId="21" tableBorderDxfId="19" totalsRowBorderDxfId="18">
  <autoFilter ref="A1:R251" xr:uid="{BCA648C5-1215-4B4C-890F-713DCF740D63}"/>
  <tableColumns count="18">
    <tableColumn id="1" xr3:uid="{D29CDB2A-CD92-4B1D-B1CB-AD106BE95216}" name="ID Pedido" dataDxfId="17"/>
    <tableColumn id="2" xr3:uid="{5D968C66-055E-4A0A-B73D-DF780D1C59CE}" name="Data Emissão" dataDxfId="16"/>
    <tableColumn id="3" xr3:uid="{1AA40BCD-695A-4CC1-9BB9-7DB4B2F05898}" name="Data Previsão Entrega" dataDxfId="15"/>
    <tableColumn id="4" xr3:uid="{D572AE5C-4AF5-4C5F-B5C8-05BC52865F78}" name="Data Real Entrega" dataDxfId="14"/>
    <tableColumn id="5" xr3:uid="{D92912E4-E48B-4CA1-B596-6F82A7C5CE19}" name="Setor / Categoria" dataDxfId="13"/>
    <tableColumn id="6" xr3:uid="{E4FF3290-9C13-475B-AD1B-B467D06CAA68}" name="Produto / Insumo" dataDxfId="12"/>
    <tableColumn id="7" xr3:uid="{F75524CE-2B83-44F8-B930-C7C081379E3D}" name="Comprador" dataDxfId="11"/>
    <tableColumn id="8" xr3:uid="{DCD29B3C-9B4A-4037-B05E-DD1B577BF114}" name="Fornecedor" dataDxfId="10"/>
    <tableColumn id="9" xr3:uid="{D92F9958-F9D7-40FF-AA67-2F6426E346B8}" name="Qtd Pedida" dataDxfId="9"/>
    <tableColumn id="10" xr3:uid="{EDE9936B-E012-4DB3-9B04-921B258856F9}" name="Qtd Recebida" dataDxfId="8"/>
    <tableColumn id="11" xr3:uid="{6279DDA6-B264-4FC1-951D-782D22C8C7E5}" name="Custo Prev. Unit (R$)" dataDxfId="7"/>
    <tableColumn id="12" xr3:uid="{5ECF1CAE-21DD-4E9F-8A22-750F8DEB8DC6}" name="Custo Real Unit (R$)" dataDxfId="6"/>
    <tableColumn id="13" xr3:uid="{999E0F49-2DE9-4D65-BBEE-C7300AB37227}" name="Custo Previsto Total (R$)" dataDxfId="5">
      <calculatedColumnFormula>I2*K2</calculatedColumnFormula>
    </tableColumn>
    <tableColumn id="14" xr3:uid="{09C3013B-F3A8-4EAA-A0F2-E1C3DE6C98B1}" name="Custo Realizado Total (R$)" dataDxfId="4">
      <calculatedColumnFormula>J2*L2</calculatedColumnFormula>
    </tableColumn>
    <tableColumn id="15" xr3:uid="{97E3C11B-8CC0-4864-97F2-8988BF40D552}" name="Economia Total (R$)" dataDxfId="3">
      <calculatedColumnFormula>M2-N2</calculatedColumnFormula>
    </tableColumn>
    <tableColumn id="16" xr3:uid="{A9B9F6A6-83F7-4840-B447-B90154983D8B}" name="Lead Time Real (Dias)" dataDxfId="2">
      <calculatedColumnFormula>D2-B2</calculatedColumnFormula>
    </tableColumn>
    <tableColumn id="17" xr3:uid="{27BE138F-40D8-42E2-8D90-947F2E097645}" name="Status Entrega" dataDxfId="1">
      <calculatedColumnFormula>IF(D2&lt;=C2,"No Prazo","Com Atraso")</calculatedColumnFormula>
    </tableColumn>
    <tableColumn id="18" xr3:uid="{B6F80B0E-89FC-4DA2-AA10-65B64E1E0BCC}" name="Status Completude" dataDxfId="0">
      <calculatedColumnFormula>IF(J2&gt;=I2,"Completo","Incompleto")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39B1-29A4-4998-8630-612DAAB6499E}">
  <dimension ref="A1:R251"/>
  <sheetViews>
    <sheetView tabSelected="1" workbookViewId="0">
      <selection activeCell="E9" sqref="E9"/>
    </sheetView>
  </sheetViews>
  <sheetFormatPr defaultRowHeight="14.4" x14ac:dyDescent="0.3"/>
  <cols>
    <col min="1" max="1" width="16" customWidth="1"/>
    <col min="2" max="2" width="15" customWidth="1"/>
    <col min="3" max="3" width="24" customWidth="1"/>
    <col min="4" max="4" width="20" customWidth="1"/>
    <col min="5" max="5" width="26" customWidth="1"/>
    <col min="6" max="6" width="40" customWidth="1"/>
    <col min="7" max="7" width="23" customWidth="1"/>
    <col min="8" max="8" width="28" customWidth="1"/>
    <col min="9" max="9" width="13" customWidth="1"/>
    <col min="10" max="10" width="15" customWidth="1"/>
    <col min="11" max="11" width="24" customWidth="1"/>
    <col min="12" max="12" width="23" customWidth="1"/>
    <col min="13" max="13" width="28" customWidth="1"/>
    <col min="14" max="14" width="29" customWidth="1"/>
    <col min="15" max="15" width="22" customWidth="1"/>
    <col min="16" max="16" width="24" customWidth="1"/>
    <col min="17" max="18" width="42" customWidth="1"/>
  </cols>
  <sheetData>
    <row r="1" spans="1:18" ht="1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 x14ac:dyDescent="0.3">
      <c r="A2" s="4" t="s">
        <v>18</v>
      </c>
      <c r="B2" s="5">
        <v>44216</v>
      </c>
      <c r="C2" s="5">
        <v>44232</v>
      </c>
      <c r="D2" s="5">
        <v>44228</v>
      </c>
      <c r="E2" s="6" t="s">
        <v>19</v>
      </c>
      <c r="F2" s="6" t="s">
        <v>20</v>
      </c>
      <c r="G2" s="6" t="s">
        <v>21</v>
      </c>
      <c r="H2" s="6" t="s">
        <v>22</v>
      </c>
      <c r="I2" s="7">
        <v>1020</v>
      </c>
      <c r="J2" s="7">
        <v>1020</v>
      </c>
      <c r="K2" s="8">
        <v>120.08</v>
      </c>
      <c r="L2" s="8">
        <v>117.08</v>
      </c>
      <c r="M2" s="8">
        <f t="shared" ref="M2:N65" si="0">I2*K2</f>
        <v>122481.59999999999</v>
      </c>
      <c r="N2" s="8">
        <f t="shared" si="0"/>
        <v>119421.59999999999</v>
      </c>
      <c r="O2" s="8">
        <f t="shared" ref="O2:O65" si="1">M2-N2</f>
        <v>3060</v>
      </c>
      <c r="P2" s="7">
        <f t="shared" ref="P2:P65" si="2">D2-B2</f>
        <v>12</v>
      </c>
      <c r="Q2" s="9" t="str">
        <f t="shared" ref="Q2:Q65" si="3">IF(D2&lt;=C2,"No Prazo","Com Atraso")</f>
        <v>No Prazo</v>
      </c>
      <c r="R2" s="10" t="str">
        <f t="shared" ref="R2:R65" si="4">IF(J2&gt;=I2,"Completo","Incompleto")</f>
        <v>Completo</v>
      </c>
    </row>
    <row r="3" spans="1:18" x14ac:dyDescent="0.3">
      <c r="A3" s="4" t="s">
        <v>23</v>
      </c>
      <c r="B3" s="5">
        <v>44217</v>
      </c>
      <c r="C3" s="5">
        <v>44226</v>
      </c>
      <c r="D3" s="5">
        <v>44226</v>
      </c>
      <c r="E3" s="6" t="s">
        <v>24</v>
      </c>
      <c r="F3" s="6" t="s">
        <v>25</v>
      </c>
      <c r="G3" s="6" t="s">
        <v>26</v>
      </c>
      <c r="H3" s="6" t="s">
        <v>27</v>
      </c>
      <c r="I3" s="7">
        <v>315</v>
      </c>
      <c r="J3" s="7">
        <v>176</v>
      </c>
      <c r="K3" s="8">
        <v>66.459999999999994</v>
      </c>
      <c r="L3" s="8">
        <v>59.69</v>
      </c>
      <c r="M3" s="8">
        <f t="shared" si="0"/>
        <v>20934.899999999998</v>
      </c>
      <c r="N3" s="8">
        <f t="shared" si="0"/>
        <v>10505.439999999999</v>
      </c>
      <c r="O3" s="8">
        <f t="shared" si="1"/>
        <v>10429.459999999999</v>
      </c>
      <c r="P3" s="7">
        <f t="shared" si="2"/>
        <v>9</v>
      </c>
      <c r="Q3" s="9" t="str">
        <f t="shared" si="3"/>
        <v>No Prazo</v>
      </c>
      <c r="R3" s="10" t="str">
        <f t="shared" si="4"/>
        <v>Incompleto</v>
      </c>
    </row>
    <row r="4" spans="1:18" x14ac:dyDescent="0.3">
      <c r="A4" s="4" t="s">
        <v>28</v>
      </c>
      <c r="B4" s="5">
        <v>44224</v>
      </c>
      <c r="C4" s="5">
        <v>44238</v>
      </c>
      <c r="D4" s="5">
        <v>44236</v>
      </c>
      <c r="E4" s="6" t="s">
        <v>29</v>
      </c>
      <c r="F4" s="6" t="s">
        <v>30</v>
      </c>
      <c r="G4" s="6" t="s">
        <v>21</v>
      </c>
      <c r="H4" s="6" t="s">
        <v>31</v>
      </c>
      <c r="I4" s="7">
        <v>1755</v>
      </c>
      <c r="J4" s="7">
        <v>1755</v>
      </c>
      <c r="K4" s="8">
        <v>155.93</v>
      </c>
      <c r="L4" s="8">
        <v>147.97</v>
      </c>
      <c r="M4" s="8">
        <f t="shared" si="0"/>
        <v>273657.15000000002</v>
      </c>
      <c r="N4" s="8">
        <f t="shared" si="0"/>
        <v>259687.35</v>
      </c>
      <c r="O4" s="8">
        <f t="shared" si="1"/>
        <v>13969.800000000017</v>
      </c>
      <c r="P4" s="7">
        <f t="shared" si="2"/>
        <v>12</v>
      </c>
      <c r="Q4" s="9" t="str">
        <f t="shared" si="3"/>
        <v>No Prazo</v>
      </c>
      <c r="R4" s="10" t="str">
        <f t="shared" si="4"/>
        <v>Completo</v>
      </c>
    </row>
    <row r="5" spans="1:18" x14ac:dyDescent="0.3">
      <c r="A5" s="4" t="s">
        <v>32</v>
      </c>
      <c r="B5" s="5">
        <v>44229</v>
      </c>
      <c r="C5" s="5">
        <v>44245</v>
      </c>
      <c r="D5" s="5">
        <v>44242</v>
      </c>
      <c r="E5" s="6" t="s">
        <v>29</v>
      </c>
      <c r="F5" s="6" t="s">
        <v>33</v>
      </c>
      <c r="G5" s="6" t="s">
        <v>34</v>
      </c>
      <c r="H5" s="6" t="s">
        <v>35</v>
      </c>
      <c r="I5" s="7">
        <v>990</v>
      </c>
      <c r="J5" s="7">
        <v>990</v>
      </c>
      <c r="K5" s="8">
        <v>326.82</v>
      </c>
      <c r="L5" s="8">
        <v>320.08</v>
      </c>
      <c r="M5" s="8">
        <f t="shared" si="0"/>
        <v>323551.8</v>
      </c>
      <c r="N5" s="8">
        <f t="shared" si="0"/>
        <v>316879.2</v>
      </c>
      <c r="O5" s="8">
        <f t="shared" si="1"/>
        <v>6672.5999999999767</v>
      </c>
      <c r="P5" s="7">
        <f t="shared" si="2"/>
        <v>13</v>
      </c>
      <c r="Q5" s="9" t="str">
        <f t="shared" si="3"/>
        <v>No Prazo</v>
      </c>
      <c r="R5" s="10" t="str">
        <f t="shared" si="4"/>
        <v>Completo</v>
      </c>
    </row>
    <row r="6" spans="1:18" x14ac:dyDescent="0.3">
      <c r="A6" s="4" t="s">
        <v>36</v>
      </c>
      <c r="B6" s="5">
        <v>44231</v>
      </c>
      <c r="C6" s="5">
        <v>44241</v>
      </c>
      <c r="D6" s="5">
        <v>44240</v>
      </c>
      <c r="E6" s="6" t="s">
        <v>37</v>
      </c>
      <c r="F6" s="6" t="s">
        <v>38</v>
      </c>
      <c r="G6" s="6" t="s">
        <v>21</v>
      </c>
      <c r="H6" s="6" t="s">
        <v>39</v>
      </c>
      <c r="I6" s="7">
        <v>1290</v>
      </c>
      <c r="J6" s="7">
        <v>1290</v>
      </c>
      <c r="K6" s="8">
        <v>416.72</v>
      </c>
      <c r="L6" s="8">
        <v>430.64</v>
      </c>
      <c r="M6" s="8">
        <f t="shared" si="0"/>
        <v>537568.80000000005</v>
      </c>
      <c r="N6" s="8">
        <f t="shared" si="0"/>
        <v>555525.6</v>
      </c>
      <c r="O6" s="8">
        <f t="shared" si="1"/>
        <v>-17956.79999999993</v>
      </c>
      <c r="P6" s="7">
        <f t="shared" si="2"/>
        <v>9</v>
      </c>
      <c r="Q6" s="9" t="str">
        <f t="shared" si="3"/>
        <v>No Prazo</v>
      </c>
      <c r="R6" s="10" t="str">
        <f t="shared" si="4"/>
        <v>Completo</v>
      </c>
    </row>
    <row r="7" spans="1:18" x14ac:dyDescent="0.3">
      <c r="A7" s="4" t="s">
        <v>40</v>
      </c>
      <c r="B7" s="5">
        <v>44240</v>
      </c>
      <c r="C7" s="5">
        <v>44260</v>
      </c>
      <c r="D7" s="5">
        <v>44260</v>
      </c>
      <c r="E7" s="6" t="s">
        <v>37</v>
      </c>
      <c r="F7" s="6" t="s">
        <v>41</v>
      </c>
      <c r="G7" s="6" t="s">
        <v>26</v>
      </c>
      <c r="H7" s="6" t="s">
        <v>42</v>
      </c>
      <c r="I7" s="7">
        <v>195</v>
      </c>
      <c r="J7" s="7">
        <v>195</v>
      </c>
      <c r="K7" s="8">
        <v>277.74</v>
      </c>
      <c r="L7" s="8">
        <v>248.13</v>
      </c>
      <c r="M7" s="8">
        <f t="shared" si="0"/>
        <v>54159.3</v>
      </c>
      <c r="N7" s="8">
        <f t="shared" si="0"/>
        <v>48385.35</v>
      </c>
      <c r="O7" s="8">
        <f t="shared" si="1"/>
        <v>5773.9500000000044</v>
      </c>
      <c r="P7" s="7">
        <f t="shared" si="2"/>
        <v>20</v>
      </c>
      <c r="Q7" s="9" t="str">
        <f t="shared" si="3"/>
        <v>No Prazo</v>
      </c>
      <c r="R7" s="10" t="str">
        <f t="shared" si="4"/>
        <v>Completo</v>
      </c>
    </row>
    <row r="8" spans="1:18" x14ac:dyDescent="0.3">
      <c r="A8" s="4" t="s">
        <v>43</v>
      </c>
      <c r="B8" s="5">
        <v>44242</v>
      </c>
      <c r="C8" s="5">
        <v>44255</v>
      </c>
      <c r="D8" s="5">
        <v>44252</v>
      </c>
      <c r="E8" s="6" t="s">
        <v>44</v>
      </c>
      <c r="F8" s="6" t="s">
        <v>45</v>
      </c>
      <c r="G8" s="6" t="s">
        <v>21</v>
      </c>
      <c r="H8" s="6" t="s">
        <v>22</v>
      </c>
      <c r="I8" s="7">
        <v>1260</v>
      </c>
      <c r="J8" s="7">
        <v>1260</v>
      </c>
      <c r="K8" s="8">
        <v>276.16000000000003</v>
      </c>
      <c r="L8" s="8">
        <v>253.25</v>
      </c>
      <c r="M8" s="8">
        <f t="shared" si="0"/>
        <v>347961.60000000003</v>
      </c>
      <c r="N8" s="8">
        <f t="shared" si="0"/>
        <v>319095</v>
      </c>
      <c r="O8" s="8">
        <f t="shared" si="1"/>
        <v>28866.600000000035</v>
      </c>
      <c r="P8" s="7">
        <f t="shared" si="2"/>
        <v>10</v>
      </c>
      <c r="Q8" s="9" t="str">
        <f t="shared" si="3"/>
        <v>No Prazo</v>
      </c>
      <c r="R8" s="10" t="str">
        <f t="shared" si="4"/>
        <v>Completo</v>
      </c>
    </row>
    <row r="9" spans="1:18" x14ac:dyDescent="0.3">
      <c r="A9" s="4" t="s">
        <v>46</v>
      </c>
      <c r="B9" s="5">
        <v>44245</v>
      </c>
      <c r="C9" s="5">
        <v>44252</v>
      </c>
      <c r="D9" s="5">
        <v>44248</v>
      </c>
      <c r="E9" s="6" t="s">
        <v>19</v>
      </c>
      <c r="F9" s="6" t="s">
        <v>47</v>
      </c>
      <c r="G9" s="6" t="s">
        <v>34</v>
      </c>
      <c r="H9" s="6" t="s">
        <v>48</v>
      </c>
      <c r="I9" s="7">
        <v>605</v>
      </c>
      <c r="J9" s="7">
        <v>605</v>
      </c>
      <c r="K9" s="8">
        <v>33.67</v>
      </c>
      <c r="L9" s="8">
        <v>31.6</v>
      </c>
      <c r="M9" s="8">
        <f t="shared" si="0"/>
        <v>20370.350000000002</v>
      </c>
      <c r="N9" s="8">
        <f t="shared" si="0"/>
        <v>19118</v>
      </c>
      <c r="O9" s="8">
        <f t="shared" si="1"/>
        <v>1252.3500000000022</v>
      </c>
      <c r="P9" s="7">
        <f t="shared" si="2"/>
        <v>3</v>
      </c>
      <c r="Q9" s="9" t="str">
        <f t="shared" si="3"/>
        <v>No Prazo</v>
      </c>
      <c r="R9" s="10" t="str">
        <f t="shared" si="4"/>
        <v>Completo</v>
      </c>
    </row>
    <row r="10" spans="1:18" x14ac:dyDescent="0.3">
      <c r="A10" s="4" t="s">
        <v>49</v>
      </c>
      <c r="B10" s="5">
        <v>44256</v>
      </c>
      <c r="C10" s="5">
        <v>44266</v>
      </c>
      <c r="D10" s="5">
        <v>44265</v>
      </c>
      <c r="E10" s="6" t="s">
        <v>19</v>
      </c>
      <c r="F10" s="6" t="s">
        <v>50</v>
      </c>
      <c r="G10" s="6" t="s">
        <v>51</v>
      </c>
      <c r="H10" s="6" t="s">
        <v>27</v>
      </c>
      <c r="I10" s="7">
        <v>115</v>
      </c>
      <c r="J10" s="7">
        <v>115</v>
      </c>
      <c r="K10" s="8">
        <v>212.88</v>
      </c>
      <c r="L10" s="8">
        <v>218.71</v>
      </c>
      <c r="M10" s="8">
        <f t="shared" si="0"/>
        <v>24481.200000000001</v>
      </c>
      <c r="N10" s="8">
        <f t="shared" si="0"/>
        <v>25151.65</v>
      </c>
      <c r="O10" s="8">
        <f t="shared" si="1"/>
        <v>-670.45000000000073</v>
      </c>
      <c r="P10" s="7">
        <f t="shared" si="2"/>
        <v>9</v>
      </c>
      <c r="Q10" s="9" t="str">
        <f t="shared" si="3"/>
        <v>No Prazo</v>
      </c>
      <c r="R10" s="10" t="str">
        <f t="shared" si="4"/>
        <v>Completo</v>
      </c>
    </row>
    <row r="11" spans="1:18" x14ac:dyDescent="0.3">
      <c r="A11" s="4" t="s">
        <v>52</v>
      </c>
      <c r="B11" s="5">
        <v>44260</v>
      </c>
      <c r="C11" s="5">
        <v>44270</v>
      </c>
      <c r="D11" s="5">
        <v>44266</v>
      </c>
      <c r="E11" s="6" t="s">
        <v>37</v>
      </c>
      <c r="F11" s="6" t="s">
        <v>41</v>
      </c>
      <c r="G11" s="6" t="s">
        <v>34</v>
      </c>
      <c r="H11" s="6" t="s">
        <v>53</v>
      </c>
      <c r="I11" s="7">
        <v>965</v>
      </c>
      <c r="J11" s="7">
        <v>965</v>
      </c>
      <c r="K11" s="8">
        <v>80.55</v>
      </c>
      <c r="L11" s="8">
        <v>78.16</v>
      </c>
      <c r="M11" s="8">
        <f t="shared" si="0"/>
        <v>77730.75</v>
      </c>
      <c r="N11" s="8">
        <f t="shared" si="0"/>
        <v>75424.399999999994</v>
      </c>
      <c r="O11" s="8">
        <f t="shared" si="1"/>
        <v>2306.3500000000058</v>
      </c>
      <c r="P11" s="7">
        <f t="shared" si="2"/>
        <v>6</v>
      </c>
      <c r="Q11" s="9" t="str">
        <f t="shared" si="3"/>
        <v>No Prazo</v>
      </c>
      <c r="R11" s="10" t="str">
        <f t="shared" si="4"/>
        <v>Completo</v>
      </c>
    </row>
    <row r="12" spans="1:18" x14ac:dyDescent="0.3">
      <c r="A12" s="4" t="s">
        <v>54</v>
      </c>
      <c r="B12" s="5">
        <v>44260</v>
      </c>
      <c r="C12" s="5">
        <v>44277</v>
      </c>
      <c r="D12" s="5">
        <v>44273</v>
      </c>
      <c r="E12" s="6" t="s">
        <v>55</v>
      </c>
      <c r="F12" s="6" t="s">
        <v>56</v>
      </c>
      <c r="G12" s="6" t="s">
        <v>26</v>
      </c>
      <c r="H12" s="6" t="s">
        <v>57</v>
      </c>
      <c r="I12" s="7">
        <v>945</v>
      </c>
      <c r="J12" s="7">
        <v>945</v>
      </c>
      <c r="K12" s="8">
        <v>419.16</v>
      </c>
      <c r="L12" s="8">
        <v>409.22</v>
      </c>
      <c r="M12" s="8">
        <f t="shared" si="0"/>
        <v>396106.2</v>
      </c>
      <c r="N12" s="8">
        <f t="shared" si="0"/>
        <v>386712.9</v>
      </c>
      <c r="O12" s="8">
        <f t="shared" si="1"/>
        <v>9393.2999999999884</v>
      </c>
      <c r="P12" s="7">
        <f t="shared" si="2"/>
        <v>13</v>
      </c>
      <c r="Q12" s="9" t="str">
        <f t="shared" si="3"/>
        <v>No Prazo</v>
      </c>
      <c r="R12" s="10" t="str">
        <f t="shared" si="4"/>
        <v>Completo</v>
      </c>
    </row>
    <row r="13" spans="1:18" x14ac:dyDescent="0.3">
      <c r="A13" s="4" t="s">
        <v>58</v>
      </c>
      <c r="B13" s="5">
        <v>44262</v>
      </c>
      <c r="C13" s="5">
        <v>44280</v>
      </c>
      <c r="D13" s="5">
        <v>44280</v>
      </c>
      <c r="E13" s="6" t="s">
        <v>37</v>
      </c>
      <c r="F13" s="6" t="s">
        <v>38</v>
      </c>
      <c r="G13" s="6" t="s">
        <v>21</v>
      </c>
      <c r="H13" s="6" t="s">
        <v>59</v>
      </c>
      <c r="I13" s="7">
        <v>1590</v>
      </c>
      <c r="J13" s="7">
        <v>1590</v>
      </c>
      <c r="K13" s="8">
        <v>105.46</v>
      </c>
      <c r="L13" s="8">
        <v>104.46</v>
      </c>
      <c r="M13" s="8">
        <f t="shared" si="0"/>
        <v>167681.4</v>
      </c>
      <c r="N13" s="8">
        <f t="shared" si="0"/>
        <v>166091.4</v>
      </c>
      <c r="O13" s="8">
        <f t="shared" si="1"/>
        <v>1590</v>
      </c>
      <c r="P13" s="7">
        <f t="shared" si="2"/>
        <v>18</v>
      </c>
      <c r="Q13" s="9" t="str">
        <f t="shared" si="3"/>
        <v>No Prazo</v>
      </c>
      <c r="R13" s="10" t="str">
        <f t="shared" si="4"/>
        <v>Completo</v>
      </c>
    </row>
    <row r="14" spans="1:18" x14ac:dyDescent="0.3">
      <c r="A14" s="4" t="s">
        <v>60</v>
      </c>
      <c r="B14" s="5">
        <v>44265</v>
      </c>
      <c r="C14" s="5">
        <v>44283</v>
      </c>
      <c r="D14" s="5">
        <v>44283</v>
      </c>
      <c r="E14" s="6" t="s">
        <v>44</v>
      </c>
      <c r="F14" s="6" t="s">
        <v>61</v>
      </c>
      <c r="G14" s="6" t="s">
        <v>21</v>
      </c>
      <c r="H14" s="6" t="s">
        <v>31</v>
      </c>
      <c r="I14" s="7">
        <v>1175</v>
      </c>
      <c r="J14" s="7">
        <v>1175</v>
      </c>
      <c r="K14" s="8">
        <v>83.29</v>
      </c>
      <c r="L14" s="8">
        <v>83.07</v>
      </c>
      <c r="M14" s="8">
        <f t="shared" si="0"/>
        <v>97865.750000000015</v>
      </c>
      <c r="N14" s="8">
        <f t="shared" si="0"/>
        <v>97607.249999999985</v>
      </c>
      <c r="O14" s="8">
        <f t="shared" si="1"/>
        <v>258.5000000000291</v>
      </c>
      <c r="P14" s="7">
        <f t="shared" si="2"/>
        <v>18</v>
      </c>
      <c r="Q14" s="9" t="str">
        <f t="shared" si="3"/>
        <v>No Prazo</v>
      </c>
      <c r="R14" s="10" t="str">
        <f t="shared" si="4"/>
        <v>Completo</v>
      </c>
    </row>
    <row r="15" spans="1:18" x14ac:dyDescent="0.3">
      <c r="A15" s="4" t="s">
        <v>62</v>
      </c>
      <c r="B15" s="5">
        <v>44290</v>
      </c>
      <c r="C15" s="5">
        <v>44296</v>
      </c>
      <c r="D15" s="5">
        <v>44296</v>
      </c>
      <c r="E15" s="6" t="s">
        <v>29</v>
      </c>
      <c r="F15" s="6" t="s">
        <v>63</v>
      </c>
      <c r="G15" s="6" t="s">
        <v>64</v>
      </c>
      <c r="H15" s="6" t="s">
        <v>39</v>
      </c>
      <c r="I15" s="7">
        <v>1745</v>
      </c>
      <c r="J15" s="7">
        <v>1745</v>
      </c>
      <c r="K15" s="8">
        <v>317.32</v>
      </c>
      <c r="L15" s="8">
        <v>287.45</v>
      </c>
      <c r="M15" s="8">
        <f t="shared" si="0"/>
        <v>553723.4</v>
      </c>
      <c r="N15" s="8">
        <f t="shared" si="0"/>
        <v>501600.25</v>
      </c>
      <c r="O15" s="8">
        <f t="shared" si="1"/>
        <v>52123.150000000023</v>
      </c>
      <c r="P15" s="7">
        <f t="shared" si="2"/>
        <v>6</v>
      </c>
      <c r="Q15" s="9" t="str">
        <f t="shared" si="3"/>
        <v>No Prazo</v>
      </c>
      <c r="R15" s="10" t="str">
        <f t="shared" si="4"/>
        <v>Completo</v>
      </c>
    </row>
    <row r="16" spans="1:18" x14ac:dyDescent="0.3">
      <c r="A16" s="4" t="s">
        <v>65</v>
      </c>
      <c r="B16" s="5">
        <v>44290</v>
      </c>
      <c r="C16" s="5">
        <v>44310</v>
      </c>
      <c r="D16" s="5">
        <v>44307</v>
      </c>
      <c r="E16" s="6" t="s">
        <v>66</v>
      </c>
      <c r="F16" s="6" t="s">
        <v>67</v>
      </c>
      <c r="G16" s="6" t="s">
        <v>34</v>
      </c>
      <c r="H16" s="6" t="s">
        <v>57</v>
      </c>
      <c r="I16" s="7">
        <v>2435</v>
      </c>
      <c r="J16" s="7">
        <v>2435</v>
      </c>
      <c r="K16" s="8">
        <v>198.67</v>
      </c>
      <c r="L16" s="8">
        <v>202.37</v>
      </c>
      <c r="M16" s="8">
        <f t="shared" si="0"/>
        <v>483761.44999999995</v>
      </c>
      <c r="N16" s="8">
        <f t="shared" si="0"/>
        <v>492770.95</v>
      </c>
      <c r="O16" s="8">
        <f t="shared" si="1"/>
        <v>-9009.5000000000582</v>
      </c>
      <c r="P16" s="7">
        <f t="shared" si="2"/>
        <v>17</v>
      </c>
      <c r="Q16" s="9" t="str">
        <f t="shared" si="3"/>
        <v>No Prazo</v>
      </c>
      <c r="R16" s="10" t="str">
        <f t="shared" si="4"/>
        <v>Completo</v>
      </c>
    </row>
    <row r="17" spans="1:18" x14ac:dyDescent="0.3">
      <c r="A17" s="4" t="s">
        <v>68</v>
      </c>
      <c r="B17" s="5">
        <v>44291</v>
      </c>
      <c r="C17" s="5">
        <v>44303</v>
      </c>
      <c r="D17" s="5">
        <v>44302</v>
      </c>
      <c r="E17" s="6" t="s">
        <v>44</v>
      </c>
      <c r="F17" s="6" t="s">
        <v>69</v>
      </c>
      <c r="G17" s="6" t="s">
        <v>26</v>
      </c>
      <c r="H17" s="6" t="s">
        <v>39</v>
      </c>
      <c r="I17" s="7">
        <v>320</v>
      </c>
      <c r="J17" s="7">
        <v>320</v>
      </c>
      <c r="K17" s="8">
        <v>133.46</v>
      </c>
      <c r="L17" s="8">
        <v>129.03</v>
      </c>
      <c r="M17" s="8">
        <f t="shared" si="0"/>
        <v>42707.200000000004</v>
      </c>
      <c r="N17" s="8">
        <f t="shared" si="0"/>
        <v>41289.599999999999</v>
      </c>
      <c r="O17" s="8">
        <f t="shared" si="1"/>
        <v>1417.6000000000058</v>
      </c>
      <c r="P17" s="7">
        <f t="shared" si="2"/>
        <v>11</v>
      </c>
      <c r="Q17" s="9" t="str">
        <f t="shared" si="3"/>
        <v>No Prazo</v>
      </c>
      <c r="R17" s="10" t="str">
        <f t="shared" si="4"/>
        <v>Completo</v>
      </c>
    </row>
    <row r="18" spans="1:18" x14ac:dyDescent="0.3">
      <c r="A18" s="4" t="s">
        <v>70</v>
      </c>
      <c r="B18" s="5">
        <v>44292</v>
      </c>
      <c r="C18" s="5">
        <v>44304</v>
      </c>
      <c r="D18" s="5">
        <v>44304</v>
      </c>
      <c r="E18" s="6" t="s">
        <v>66</v>
      </c>
      <c r="F18" s="6" t="s">
        <v>71</v>
      </c>
      <c r="G18" s="6" t="s">
        <v>34</v>
      </c>
      <c r="H18" s="6" t="s">
        <v>57</v>
      </c>
      <c r="I18" s="7">
        <v>1705</v>
      </c>
      <c r="J18" s="7">
        <v>1705</v>
      </c>
      <c r="K18" s="8">
        <v>386.52</v>
      </c>
      <c r="L18" s="8">
        <v>401.24</v>
      </c>
      <c r="M18" s="8">
        <f t="shared" si="0"/>
        <v>659016.6</v>
      </c>
      <c r="N18" s="8">
        <f t="shared" si="0"/>
        <v>684114.20000000007</v>
      </c>
      <c r="O18" s="8">
        <f t="shared" si="1"/>
        <v>-25097.600000000093</v>
      </c>
      <c r="P18" s="7">
        <f t="shared" si="2"/>
        <v>12</v>
      </c>
      <c r="Q18" s="9" t="str">
        <f t="shared" si="3"/>
        <v>No Prazo</v>
      </c>
      <c r="R18" s="10" t="str">
        <f t="shared" si="4"/>
        <v>Completo</v>
      </c>
    </row>
    <row r="19" spans="1:18" x14ac:dyDescent="0.3">
      <c r="A19" s="4" t="s">
        <v>72</v>
      </c>
      <c r="B19" s="5">
        <v>44293</v>
      </c>
      <c r="C19" s="5">
        <v>44312</v>
      </c>
      <c r="D19" s="5">
        <v>44310</v>
      </c>
      <c r="E19" s="6" t="s">
        <v>19</v>
      </c>
      <c r="F19" s="6" t="s">
        <v>73</v>
      </c>
      <c r="G19" s="6" t="s">
        <v>51</v>
      </c>
      <c r="H19" s="6" t="s">
        <v>59</v>
      </c>
      <c r="I19" s="7">
        <v>545</v>
      </c>
      <c r="J19" s="7">
        <v>545</v>
      </c>
      <c r="K19" s="8">
        <v>147.41999999999999</v>
      </c>
      <c r="L19" s="8">
        <v>139.41</v>
      </c>
      <c r="M19" s="8">
        <f t="shared" si="0"/>
        <v>80343.899999999994</v>
      </c>
      <c r="N19" s="8">
        <f t="shared" si="0"/>
        <v>75978.45</v>
      </c>
      <c r="O19" s="8">
        <f t="shared" si="1"/>
        <v>4365.4499999999971</v>
      </c>
      <c r="P19" s="7">
        <f t="shared" si="2"/>
        <v>17</v>
      </c>
      <c r="Q19" s="9" t="str">
        <f t="shared" si="3"/>
        <v>No Prazo</v>
      </c>
      <c r="R19" s="10" t="str">
        <f t="shared" si="4"/>
        <v>Completo</v>
      </c>
    </row>
    <row r="20" spans="1:18" x14ac:dyDescent="0.3">
      <c r="A20" s="4" t="s">
        <v>74</v>
      </c>
      <c r="B20" s="5">
        <v>44294</v>
      </c>
      <c r="C20" s="5">
        <v>44307</v>
      </c>
      <c r="D20" s="5">
        <v>44303</v>
      </c>
      <c r="E20" s="6" t="s">
        <v>55</v>
      </c>
      <c r="F20" s="6" t="s">
        <v>75</v>
      </c>
      <c r="G20" s="6" t="s">
        <v>51</v>
      </c>
      <c r="H20" s="6" t="s">
        <v>31</v>
      </c>
      <c r="I20" s="7">
        <v>65</v>
      </c>
      <c r="J20" s="7">
        <v>65</v>
      </c>
      <c r="K20" s="8">
        <v>454.44</v>
      </c>
      <c r="L20" s="8">
        <v>459.19</v>
      </c>
      <c r="M20" s="8">
        <f t="shared" si="0"/>
        <v>29538.6</v>
      </c>
      <c r="N20" s="8">
        <f t="shared" si="0"/>
        <v>29847.35</v>
      </c>
      <c r="O20" s="8">
        <f t="shared" si="1"/>
        <v>-308.75</v>
      </c>
      <c r="P20" s="7">
        <f t="shared" si="2"/>
        <v>9</v>
      </c>
      <c r="Q20" s="9" t="str">
        <f t="shared" si="3"/>
        <v>No Prazo</v>
      </c>
      <c r="R20" s="10" t="str">
        <f t="shared" si="4"/>
        <v>Completo</v>
      </c>
    </row>
    <row r="21" spans="1:18" x14ac:dyDescent="0.3">
      <c r="A21" s="4" t="s">
        <v>76</v>
      </c>
      <c r="B21" s="5">
        <v>44306</v>
      </c>
      <c r="C21" s="5">
        <v>44318</v>
      </c>
      <c r="D21" s="5">
        <v>44324</v>
      </c>
      <c r="E21" s="6" t="s">
        <v>29</v>
      </c>
      <c r="F21" s="6" t="s">
        <v>33</v>
      </c>
      <c r="G21" s="6" t="s">
        <v>26</v>
      </c>
      <c r="H21" s="6" t="s">
        <v>57</v>
      </c>
      <c r="I21" s="7">
        <v>315</v>
      </c>
      <c r="J21" s="7">
        <v>315</v>
      </c>
      <c r="K21" s="8">
        <v>111.96</v>
      </c>
      <c r="L21" s="8">
        <v>111.02</v>
      </c>
      <c r="M21" s="8">
        <f t="shared" si="0"/>
        <v>35267.4</v>
      </c>
      <c r="N21" s="8">
        <f t="shared" si="0"/>
        <v>34971.299999999996</v>
      </c>
      <c r="O21" s="8">
        <f t="shared" si="1"/>
        <v>296.10000000000582</v>
      </c>
      <c r="P21" s="7">
        <f t="shared" si="2"/>
        <v>18</v>
      </c>
      <c r="Q21" s="9" t="str">
        <f t="shared" si="3"/>
        <v>Com Atraso</v>
      </c>
      <c r="R21" s="10" t="str">
        <f t="shared" si="4"/>
        <v>Completo</v>
      </c>
    </row>
    <row r="22" spans="1:18" x14ac:dyDescent="0.3">
      <c r="A22" s="4" t="s">
        <v>77</v>
      </c>
      <c r="B22" s="5">
        <v>44320</v>
      </c>
      <c r="C22" s="5">
        <v>44330</v>
      </c>
      <c r="D22" s="5">
        <v>44330</v>
      </c>
      <c r="E22" s="6" t="s">
        <v>44</v>
      </c>
      <c r="F22" s="6" t="s">
        <v>78</v>
      </c>
      <c r="G22" s="6" t="s">
        <v>34</v>
      </c>
      <c r="H22" s="6" t="s">
        <v>48</v>
      </c>
      <c r="I22" s="7">
        <v>850</v>
      </c>
      <c r="J22" s="7">
        <v>850</v>
      </c>
      <c r="K22" s="8">
        <v>285.60000000000002</v>
      </c>
      <c r="L22" s="8">
        <v>275.74</v>
      </c>
      <c r="M22" s="8">
        <f t="shared" si="0"/>
        <v>242760.00000000003</v>
      </c>
      <c r="N22" s="8">
        <f t="shared" si="0"/>
        <v>234379</v>
      </c>
      <c r="O22" s="8">
        <f t="shared" si="1"/>
        <v>8381.0000000000291</v>
      </c>
      <c r="P22" s="7">
        <f t="shared" si="2"/>
        <v>10</v>
      </c>
      <c r="Q22" s="9" t="str">
        <f t="shared" si="3"/>
        <v>No Prazo</v>
      </c>
      <c r="R22" s="10" t="str">
        <f t="shared" si="4"/>
        <v>Completo</v>
      </c>
    </row>
    <row r="23" spans="1:18" x14ac:dyDescent="0.3">
      <c r="A23" s="4" t="s">
        <v>79</v>
      </c>
      <c r="B23" s="5">
        <v>44324</v>
      </c>
      <c r="C23" s="5">
        <v>44329</v>
      </c>
      <c r="D23" s="5">
        <v>44327</v>
      </c>
      <c r="E23" s="6" t="s">
        <v>44</v>
      </c>
      <c r="F23" s="6" t="s">
        <v>78</v>
      </c>
      <c r="G23" s="6" t="s">
        <v>64</v>
      </c>
      <c r="H23" s="6" t="s">
        <v>27</v>
      </c>
      <c r="I23" s="7">
        <v>1295</v>
      </c>
      <c r="J23" s="7">
        <v>1295</v>
      </c>
      <c r="K23" s="8">
        <v>261.31</v>
      </c>
      <c r="L23" s="8">
        <v>248.23</v>
      </c>
      <c r="M23" s="8">
        <f t="shared" si="0"/>
        <v>338396.45</v>
      </c>
      <c r="N23" s="8">
        <f t="shared" si="0"/>
        <v>321457.84999999998</v>
      </c>
      <c r="O23" s="8">
        <f t="shared" si="1"/>
        <v>16938.600000000035</v>
      </c>
      <c r="P23" s="7">
        <f t="shared" si="2"/>
        <v>3</v>
      </c>
      <c r="Q23" s="9" t="str">
        <f t="shared" si="3"/>
        <v>No Prazo</v>
      </c>
      <c r="R23" s="10" t="str">
        <f t="shared" si="4"/>
        <v>Completo</v>
      </c>
    </row>
    <row r="24" spans="1:18" x14ac:dyDescent="0.3">
      <c r="A24" s="4" t="s">
        <v>80</v>
      </c>
      <c r="B24" s="5">
        <v>44325</v>
      </c>
      <c r="C24" s="5">
        <v>44330</v>
      </c>
      <c r="D24" s="5">
        <v>44328</v>
      </c>
      <c r="E24" s="6" t="s">
        <v>19</v>
      </c>
      <c r="F24" s="6" t="s">
        <v>47</v>
      </c>
      <c r="G24" s="6" t="s">
        <v>21</v>
      </c>
      <c r="H24" s="6" t="s">
        <v>81</v>
      </c>
      <c r="I24" s="7">
        <v>2475</v>
      </c>
      <c r="J24" s="7">
        <v>2475</v>
      </c>
      <c r="K24" s="8">
        <v>225.08</v>
      </c>
      <c r="L24" s="8">
        <v>223.43</v>
      </c>
      <c r="M24" s="8">
        <f t="shared" si="0"/>
        <v>557073</v>
      </c>
      <c r="N24" s="8">
        <f t="shared" si="0"/>
        <v>552989.25</v>
      </c>
      <c r="O24" s="8">
        <f t="shared" si="1"/>
        <v>4083.75</v>
      </c>
      <c r="P24" s="7">
        <f t="shared" si="2"/>
        <v>3</v>
      </c>
      <c r="Q24" s="9" t="str">
        <f t="shared" si="3"/>
        <v>No Prazo</v>
      </c>
      <c r="R24" s="10" t="str">
        <f t="shared" si="4"/>
        <v>Completo</v>
      </c>
    </row>
    <row r="25" spans="1:18" x14ac:dyDescent="0.3">
      <c r="A25" s="4" t="s">
        <v>82</v>
      </c>
      <c r="B25" s="5">
        <v>44325</v>
      </c>
      <c r="C25" s="5">
        <v>44332</v>
      </c>
      <c r="D25" s="5">
        <v>44329</v>
      </c>
      <c r="E25" s="6" t="s">
        <v>19</v>
      </c>
      <c r="F25" s="6" t="s">
        <v>20</v>
      </c>
      <c r="G25" s="6" t="s">
        <v>64</v>
      </c>
      <c r="H25" s="6" t="s">
        <v>27</v>
      </c>
      <c r="I25" s="7">
        <v>325</v>
      </c>
      <c r="J25" s="7">
        <v>325</v>
      </c>
      <c r="K25" s="8">
        <v>437.79</v>
      </c>
      <c r="L25" s="8">
        <v>390.72</v>
      </c>
      <c r="M25" s="8">
        <f t="shared" si="0"/>
        <v>142281.75</v>
      </c>
      <c r="N25" s="8">
        <f t="shared" si="0"/>
        <v>126984.00000000001</v>
      </c>
      <c r="O25" s="8">
        <f t="shared" si="1"/>
        <v>15297.749999999985</v>
      </c>
      <c r="P25" s="7">
        <f t="shared" si="2"/>
        <v>4</v>
      </c>
      <c r="Q25" s="9" t="str">
        <f t="shared" si="3"/>
        <v>No Prazo</v>
      </c>
      <c r="R25" s="10" t="str">
        <f t="shared" si="4"/>
        <v>Completo</v>
      </c>
    </row>
    <row r="26" spans="1:18" x14ac:dyDescent="0.3">
      <c r="A26" s="4" t="s">
        <v>83</v>
      </c>
      <c r="B26" s="5">
        <v>44335</v>
      </c>
      <c r="C26" s="5">
        <v>44349</v>
      </c>
      <c r="D26" s="5">
        <v>44349</v>
      </c>
      <c r="E26" s="6" t="s">
        <v>55</v>
      </c>
      <c r="F26" s="6" t="s">
        <v>56</v>
      </c>
      <c r="G26" s="6" t="s">
        <v>51</v>
      </c>
      <c r="H26" s="6" t="s">
        <v>27</v>
      </c>
      <c r="I26" s="7">
        <v>1545</v>
      </c>
      <c r="J26" s="7">
        <v>1545</v>
      </c>
      <c r="K26" s="8">
        <v>164.52</v>
      </c>
      <c r="L26" s="8">
        <v>172.6</v>
      </c>
      <c r="M26" s="8">
        <f t="shared" si="0"/>
        <v>254183.40000000002</v>
      </c>
      <c r="N26" s="8">
        <f t="shared" si="0"/>
        <v>266667</v>
      </c>
      <c r="O26" s="8">
        <f t="shared" si="1"/>
        <v>-12483.599999999977</v>
      </c>
      <c r="P26" s="7">
        <f t="shared" si="2"/>
        <v>14</v>
      </c>
      <c r="Q26" s="9" t="str">
        <f t="shared" si="3"/>
        <v>No Prazo</v>
      </c>
      <c r="R26" s="10" t="str">
        <f t="shared" si="4"/>
        <v>Completo</v>
      </c>
    </row>
    <row r="27" spans="1:18" x14ac:dyDescent="0.3">
      <c r="A27" s="4" t="s">
        <v>84</v>
      </c>
      <c r="B27" s="5">
        <v>44342</v>
      </c>
      <c r="C27" s="5">
        <v>44360</v>
      </c>
      <c r="D27" s="5">
        <v>44359</v>
      </c>
      <c r="E27" s="6" t="s">
        <v>19</v>
      </c>
      <c r="F27" s="6" t="s">
        <v>73</v>
      </c>
      <c r="G27" s="6" t="s">
        <v>26</v>
      </c>
      <c r="H27" s="6" t="s">
        <v>39</v>
      </c>
      <c r="I27" s="7">
        <v>510</v>
      </c>
      <c r="J27" s="7">
        <v>510</v>
      </c>
      <c r="K27" s="8">
        <v>370.52</v>
      </c>
      <c r="L27" s="8">
        <v>387.68</v>
      </c>
      <c r="M27" s="8">
        <f t="shared" si="0"/>
        <v>188965.19999999998</v>
      </c>
      <c r="N27" s="8">
        <f t="shared" si="0"/>
        <v>197716.80000000002</v>
      </c>
      <c r="O27" s="8">
        <f t="shared" si="1"/>
        <v>-8751.6000000000349</v>
      </c>
      <c r="P27" s="7">
        <f t="shared" si="2"/>
        <v>17</v>
      </c>
      <c r="Q27" s="9" t="str">
        <f t="shared" si="3"/>
        <v>No Prazo</v>
      </c>
      <c r="R27" s="10" t="str">
        <f t="shared" si="4"/>
        <v>Completo</v>
      </c>
    </row>
    <row r="28" spans="1:18" x14ac:dyDescent="0.3">
      <c r="A28" s="4" t="s">
        <v>85</v>
      </c>
      <c r="B28" s="5">
        <v>44346</v>
      </c>
      <c r="C28" s="5">
        <v>44359</v>
      </c>
      <c r="D28" s="5">
        <v>44356</v>
      </c>
      <c r="E28" s="6" t="s">
        <v>24</v>
      </c>
      <c r="F28" s="6" t="s">
        <v>86</v>
      </c>
      <c r="G28" s="6" t="s">
        <v>21</v>
      </c>
      <c r="H28" s="6" t="s">
        <v>81</v>
      </c>
      <c r="I28" s="7">
        <v>2365</v>
      </c>
      <c r="J28" s="7">
        <v>2365</v>
      </c>
      <c r="K28" s="8">
        <v>166.98</v>
      </c>
      <c r="L28" s="8">
        <v>161.54</v>
      </c>
      <c r="M28" s="8">
        <f t="shared" si="0"/>
        <v>394907.69999999995</v>
      </c>
      <c r="N28" s="8">
        <f t="shared" si="0"/>
        <v>382042.1</v>
      </c>
      <c r="O28" s="8">
        <f t="shared" si="1"/>
        <v>12865.599999999977</v>
      </c>
      <c r="P28" s="7">
        <f t="shared" si="2"/>
        <v>10</v>
      </c>
      <c r="Q28" s="9" t="str">
        <f t="shared" si="3"/>
        <v>No Prazo</v>
      </c>
      <c r="R28" s="10" t="str">
        <f t="shared" si="4"/>
        <v>Completo</v>
      </c>
    </row>
    <row r="29" spans="1:18" x14ac:dyDescent="0.3">
      <c r="A29" s="4" t="s">
        <v>87</v>
      </c>
      <c r="B29" s="5">
        <v>44352</v>
      </c>
      <c r="C29" s="5">
        <v>44370</v>
      </c>
      <c r="D29" s="5">
        <v>44368</v>
      </c>
      <c r="E29" s="6" t="s">
        <v>19</v>
      </c>
      <c r="F29" s="6" t="s">
        <v>50</v>
      </c>
      <c r="G29" s="6" t="s">
        <v>64</v>
      </c>
      <c r="H29" s="6" t="s">
        <v>88</v>
      </c>
      <c r="I29" s="7">
        <v>1075</v>
      </c>
      <c r="J29" s="7">
        <v>1075</v>
      </c>
      <c r="K29" s="8">
        <v>444.23</v>
      </c>
      <c r="L29" s="8">
        <v>456.6</v>
      </c>
      <c r="M29" s="8">
        <f t="shared" si="0"/>
        <v>477547.25</v>
      </c>
      <c r="N29" s="8">
        <f t="shared" si="0"/>
        <v>490845</v>
      </c>
      <c r="O29" s="8">
        <f t="shared" si="1"/>
        <v>-13297.75</v>
      </c>
      <c r="P29" s="7">
        <f t="shared" si="2"/>
        <v>16</v>
      </c>
      <c r="Q29" s="9" t="str">
        <f t="shared" si="3"/>
        <v>No Prazo</v>
      </c>
      <c r="R29" s="10" t="str">
        <f t="shared" si="4"/>
        <v>Completo</v>
      </c>
    </row>
    <row r="30" spans="1:18" x14ac:dyDescent="0.3">
      <c r="A30" s="4" t="s">
        <v>89</v>
      </c>
      <c r="B30" s="5">
        <v>44356</v>
      </c>
      <c r="C30" s="5">
        <v>44362</v>
      </c>
      <c r="D30" s="5">
        <v>44361</v>
      </c>
      <c r="E30" s="6" t="s">
        <v>44</v>
      </c>
      <c r="F30" s="6" t="s">
        <v>45</v>
      </c>
      <c r="G30" s="6" t="s">
        <v>34</v>
      </c>
      <c r="H30" s="6" t="s">
        <v>48</v>
      </c>
      <c r="I30" s="7">
        <v>2025</v>
      </c>
      <c r="J30" s="7">
        <v>2025</v>
      </c>
      <c r="K30" s="8">
        <v>332.39</v>
      </c>
      <c r="L30" s="8">
        <v>338.02</v>
      </c>
      <c r="M30" s="8">
        <f t="shared" si="0"/>
        <v>673089.75</v>
      </c>
      <c r="N30" s="8">
        <f t="shared" si="0"/>
        <v>684490.5</v>
      </c>
      <c r="O30" s="8">
        <f t="shared" si="1"/>
        <v>-11400.75</v>
      </c>
      <c r="P30" s="7">
        <f t="shared" si="2"/>
        <v>5</v>
      </c>
      <c r="Q30" s="9" t="str">
        <f t="shared" si="3"/>
        <v>No Prazo</v>
      </c>
      <c r="R30" s="10" t="str">
        <f t="shared" si="4"/>
        <v>Completo</v>
      </c>
    </row>
    <row r="31" spans="1:18" x14ac:dyDescent="0.3">
      <c r="A31" s="4" t="s">
        <v>90</v>
      </c>
      <c r="B31" s="5">
        <v>44358</v>
      </c>
      <c r="C31" s="5">
        <v>44364</v>
      </c>
      <c r="D31" s="5">
        <v>44364</v>
      </c>
      <c r="E31" s="6" t="s">
        <v>24</v>
      </c>
      <c r="F31" s="6" t="s">
        <v>86</v>
      </c>
      <c r="G31" s="6" t="s">
        <v>51</v>
      </c>
      <c r="H31" s="6" t="s">
        <v>88</v>
      </c>
      <c r="I31" s="7">
        <v>1345</v>
      </c>
      <c r="J31" s="7">
        <v>1345</v>
      </c>
      <c r="K31" s="8">
        <v>283.8</v>
      </c>
      <c r="L31" s="8">
        <v>295.77999999999997</v>
      </c>
      <c r="M31" s="8">
        <f t="shared" si="0"/>
        <v>381711</v>
      </c>
      <c r="N31" s="8">
        <f t="shared" si="0"/>
        <v>397824.1</v>
      </c>
      <c r="O31" s="8">
        <f t="shared" si="1"/>
        <v>-16113.099999999977</v>
      </c>
      <c r="P31" s="7">
        <f t="shared" si="2"/>
        <v>6</v>
      </c>
      <c r="Q31" s="9" t="str">
        <f t="shared" si="3"/>
        <v>No Prazo</v>
      </c>
      <c r="R31" s="10" t="str">
        <f t="shared" si="4"/>
        <v>Completo</v>
      </c>
    </row>
    <row r="32" spans="1:18" x14ac:dyDescent="0.3">
      <c r="A32" s="4" t="s">
        <v>91</v>
      </c>
      <c r="B32" s="5">
        <v>44358</v>
      </c>
      <c r="C32" s="5">
        <v>44373</v>
      </c>
      <c r="D32" s="5">
        <v>44370</v>
      </c>
      <c r="E32" s="6" t="s">
        <v>29</v>
      </c>
      <c r="F32" s="6" t="s">
        <v>92</v>
      </c>
      <c r="G32" s="6" t="s">
        <v>51</v>
      </c>
      <c r="H32" s="6" t="s">
        <v>42</v>
      </c>
      <c r="I32" s="7">
        <v>1500</v>
      </c>
      <c r="J32" s="7">
        <v>1500</v>
      </c>
      <c r="K32" s="8">
        <v>194.43</v>
      </c>
      <c r="L32" s="8">
        <v>200.73</v>
      </c>
      <c r="M32" s="8">
        <f t="shared" si="0"/>
        <v>291645</v>
      </c>
      <c r="N32" s="8">
        <f t="shared" si="0"/>
        <v>301095</v>
      </c>
      <c r="O32" s="8">
        <f t="shared" si="1"/>
        <v>-9450</v>
      </c>
      <c r="P32" s="7">
        <f t="shared" si="2"/>
        <v>12</v>
      </c>
      <c r="Q32" s="9" t="str">
        <f t="shared" si="3"/>
        <v>No Prazo</v>
      </c>
      <c r="R32" s="10" t="str">
        <f t="shared" si="4"/>
        <v>Completo</v>
      </c>
    </row>
    <row r="33" spans="1:18" x14ac:dyDescent="0.3">
      <c r="A33" s="4" t="s">
        <v>93</v>
      </c>
      <c r="B33" s="5">
        <v>44362</v>
      </c>
      <c r="C33" s="5">
        <v>44373</v>
      </c>
      <c r="D33" s="5">
        <v>44379</v>
      </c>
      <c r="E33" s="6" t="s">
        <v>19</v>
      </c>
      <c r="F33" s="6" t="s">
        <v>47</v>
      </c>
      <c r="G33" s="6" t="s">
        <v>26</v>
      </c>
      <c r="H33" s="6" t="s">
        <v>42</v>
      </c>
      <c r="I33" s="7">
        <v>900</v>
      </c>
      <c r="J33" s="7">
        <v>900</v>
      </c>
      <c r="K33" s="8">
        <v>48.21</v>
      </c>
      <c r="L33" s="8">
        <v>47.61</v>
      </c>
      <c r="M33" s="8">
        <f t="shared" si="0"/>
        <v>43389</v>
      </c>
      <c r="N33" s="8">
        <f t="shared" si="0"/>
        <v>42849</v>
      </c>
      <c r="O33" s="8">
        <f t="shared" si="1"/>
        <v>540</v>
      </c>
      <c r="P33" s="7">
        <f t="shared" si="2"/>
        <v>17</v>
      </c>
      <c r="Q33" s="9" t="str">
        <f t="shared" si="3"/>
        <v>Com Atraso</v>
      </c>
      <c r="R33" s="10" t="str">
        <f t="shared" si="4"/>
        <v>Completo</v>
      </c>
    </row>
    <row r="34" spans="1:18" x14ac:dyDescent="0.3">
      <c r="A34" s="4" t="s">
        <v>94</v>
      </c>
      <c r="B34" s="5">
        <v>44365</v>
      </c>
      <c r="C34" s="5">
        <v>44377</v>
      </c>
      <c r="D34" s="5">
        <v>44373</v>
      </c>
      <c r="E34" s="6" t="s">
        <v>66</v>
      </c>
      <c r="F34" s="6" t="s">
        <v>67</v>
      </c>
      <c r="G34" s="6" t="s">
        <v>34</v>
      </c>
      <c r="H34" s="6" t="s">
        <v>88</v>
      </c>
      <c r="I34" s="7">
        <v>220</v>
      </c>
      <c r="J34" s="7">
        <v>220</v>
      </c>
      <c r="K34" s="8">
        <v>122.46</v>
      </c>
      <c r="L34" s="8">
        <v>110.26</v>
      </c>
      <c r="M34" s="8">
        <f t="shared" si="0"/>
        <v>26941.199999999997</v>
      </c>
      <c r="N34" s="8">
        <f t="shared" si="0"/>
        <v>24257.200000000001</v>
      </c>
      <c r="O34" s="8">
        <f t="shared" si="1"/>
        <v>2683.9999999999964</v>
      </c>
      <c r="P34" s="7">
        <f t="shared" si="2"/>
        <v>8</v>
      </c>
      <c r="Q34" s="9" t="str">
        <f t="shared" si="3"/>
        <v>No Prazo</v>
      </c>
      <c r="R34" s="10" t="str">
        <f t="shared" si="4"/>
        <v>Completo</v>
      </c>
    </row>
    <row r="35" spans="1:18" x14ac:dyDescent="0.3">
      <c r="A35" s="4" t="s">
        <v>95</v>
      </c>
      <c r="B35" s="5">
        <v>44367</v>
      </c>
      <c r="C35" s="5">
        <v>44387</v>
      </c>
      <c r="D35" s="5">
        <v>44396</v>
      </c>
      <c r="E35" s="6" t="s">
        <v>37</v>
      </c>
      <c r="F35" s="6" t="s">
        <v>96</v>
      </c>
      <c r="G35" s="6" t="s">
        <v>26</v>
      </c>
      <c r="H35" s="6" t="s">
        <v>27</v>
      </c>
      <c r="I35" s="7">
        <v>585</v>
      </c>
      <c r="J35" s="7">
        <v>585</v>
      </c>
      <c r="K35" s="8">
        <v>207.25</v>
      </c>
      <c r="L35" s="8">
        <v>204.89</v>
      </c>
      <c r="M35" s="8">
        <f t="shared" si="0"/>
        <v>121241.25</v>
      </c>
      <c r="N35" s="8">
        <f t="shared" si="0"/>
        <v>119860.65</v>
      </c>
      <c r="O35" s="8">
        <f t="shared" si="1"/>
        <v>1380.6000000000058</v>
      </c>
      <c r="P35" s="7">
        <f t="shared" si="2"/>
        <v>29</v>
      </c>
      <c r="Q35" s="9" t="str">
        <f t="shared" si="3"/>
        <v>Com Atraso</v>
      </c>
      <c r="R35" s="10" t="str">
        <f t="shared" si="4"/>
        <v>Completo</v>
      </c>
    </row>
    <row r="36" spans="1:18" x14ac:dyDescent="0.3">
      <c r="A36" s="4" t="s">
        <v>97</v>
      </c>
      <c r="B36" s="5">
        <v>44374</v>
      </c>
      <c r="C36" s="5">
        <v>44391</v>
      </c>
      <c r="D36" s="5">
        <v>44388</v>
      </c>
      <c r="E36" s="6" t="s">
        <v>24</v>
      </c>
      <c r="F36" s="6" t="s">
        <v>98</v>
      </c>
      <c r="G36" s="6" t="s">
        <v>26</v>
      </c>
      <c r="H36" s="6" t="s">
        <v>81</v>
      </c>
      <c r="I36" s="7">
        <v>660</v>
      </c>
      <c r="J36" s="7">
        <v>660</v>
      </c>
      <c r="K36" s="8">
        <v>98.07</v>
      </c>
      <c r="L36" s="8">
        <v>97.86</v>
      </c>
      <c r="M36" s="8">
        <f t="shared" si="0"/>
        <v>64726.2</v>
      </c>
      <c r="N36" s="8">
        <f t="shared" si="0"/>
        <v>64587.6</v>
      </c>
      <c r="O36" s="8">
        <f t="shared" si="1"/>
        <v>138.59999999999854</v>
      </c>
      <c r="P36" s="7">
        <f t="shared" si="2"/>
        <v>14</v>
      </c>
      <c r="Q36" s="9" t="str">
        <f t="shared" si="3"/>
        <v>No Prazo</v>
      </c>
      <c r="R36" s="10" t="str">
        <f t="shared" si="4"/>
        <v>Completo</v>
      </c>
    </row>
    <row r="37" spans="1:18" x14ac:dyDescent="0.3">
      <c r="A37" s="4" t="s">
        <v>99</v>
      </c>
      <c r="B37" s="5">
        <v>44380</v>
      </c>
      <c r="C37" s="5">
        <v>44390</v>
      </c>
      <c r="D37" s="5">
        <v>44387</v>
      </c>
      <c r="E37" s="6" t="s">
        <v>66</v>
      </c>
      <c r="F37" s="6" t="s">
        <v>100</v>
      </c>
      <c r="G37" s="6" t="s">
        <v>26</v>
      </c>
      <c r="H37" s="6" t="s">
        <v>48</v>
      </c>
      <c r="I37" s="7">
        <v>215</v>
      </c>
      <c r="J37" s="7">
        <v>215</v>
      </c>
      <c r="K37" s="8">
        <v>148.24</v>
      </c>
      <c r="L37" s="8">
        <v>138.01</v>
      </c>
      <c r="M37" s="8">
        <f t="shared" si="0"/>
        <v>31871.600000000002</v>
      </c>
      <c r="N37" s="8">
        <f t="shared" si="0"/>
        <v>29672.149999999998</v>
      </c>
      <c r="O37" s="8">
        <f t="shared" si="1"/>
        <v>2199.4500000000044</v>
      </c>
      <c r="P37" s="7">
        <f t="shared" si="2"/>
        <v>7</v>
      </c>
      <c r="Q37" s="9" t="str">
        <f t="shared" si="3"/>
        <v>No Prazo</v>
      </c>
      <c r="R37" s="10" t="str">
        <f t="shared" si="4"/>
        <v>Completo</v>
      </c>
    </row>
    <row r="38" spans="1:18" x14ac:dyDescent="0.3">
      <c r="A38" s="4" t="s">
        <v>101</v>
      </c>
      <c r="B38" s="5">
        <v>44388</v>
      </c>
      <c r="C38" s="5">
        <v>44403</v>
      </c>
      <c r="D38" s="5">
        <v>44403</v>
      </c>
      <c r="E38" s="6" t="s">
        <v>24</v>
      </c>
      <c r="F38" s="6" t="s">
        <v>25</v>
      </c>
      <c r="G38" s="6" t="s">
        <v>21</v>
      </c>
      <c r="H38" s="6" t="s">
        <v>39</v>
      </c>
      <c r="I38" s="7">
        <v>1120</v>
      </c>
      <c r="J38" s="7">
        <v>1120</v>
      </c>
      <c r="K38" s="8">
        <v>86.09</v>
      </c>
      <c r="L38" s="8">
        <v>80.319999999999993</v>
      </c>
      <c r="M38" s="8">
        <f t="shared" si="0"/>
        <v>96420.800000000003</v>
      </c>
      <c r="N38" s="8">
        <f t="shared" si="0"/>
        <v>89958.399999999994</v>
      </c>
      <c r="O38" s="8">
        <f t="shared" si="1"/>
        <v>6462.4000000000087</v>
      </c>
      <c r="P38" s="7">
        <f t="shared" si="2"/>
        <v>15</v>
      </c>
      <c r="Q38" s="9" t="str">
        <f t="shared" si="3"/>
        <v>No Prazo</v>
      </c>
      <c r="R38" s="10" t="str">
        <f t="shared" si="4"/>
        <v>Completo</v>
      </c>
    </row>
    <row r="39" spans="1:18" x14ac:dyDescent="0.3">
      <c r="A39" s="4" t="s">
        <v>102</v>
      </c>
      <c r="B39" s="5">
        <v>44391</v>
      </c>
      <c r="C39" s="5">
        <v>44407</v>
      </c>
      <c r="D39" s="5">
        <v>44407</v>
      </c>
      <c r="E39" s="6" t="s">
        <v>29</v>
      </c>
      <c r="F39" s="6" t="s">
        <v>92</v>
      </c>
      <c r="G39" s="6" t="s">
        <v>64</v>
      </c>
      <c r="H39" s="6" t="s">
        <v>48</v>
      </c>
      <c r="I39" s="7">
        <v>670</v>
      </c>
      <c r="J39" s="7">
        <v>670</v>
      </c>
      <c r="K39" s="8">
        <v>284.38</v>
      </c>
      <c r="L39" s="8">
        <v>273.13</v>
      </c>
      <c r="M39" s="8">
        <f t="shared" si="0"/>
        <v>190534.6</v>
      </c>
      <c r="N39" s="8">
        <f t="shared" si="0"/>
        <v>182997.1</v>
      </c>
      <c r="O39" s="8">
        <f t="shared" si="1"/>
        <v>7537.5</v>
      </c>
      <c r="P39" s="7">
        <f t="shared" si="2"/>
        <v>16</v>
      </c>
      <c r="Q39" s="9" t="str">
        <f t="shared" si="3"/>
        <v>No Prazo</v>
      </c>
      <c r="R39" s="10" t="str">
        <f t="shared" si="4"/>
        <v>Completo</v>
      </c>
    </row>
    <row r="40" spans="1:18" x14ac:dyDescent="0.3">
      <c r="A40" s="4" t="s">
        <v>103</v>
      </c>
      <c r="B40" s="5">
        <v>44391</v>
      </c>
      <c r="C40" s="5">
        <v>44399</v>
      </c>
      <c r="D40" s="5">
        <v>44398</v>
      </c>
      <c r="E40" s="6" t="s">
        <v>19</v>
      </c>
      <c r="F40" s="6" t="s">
        <v>73</v>
      </c>
      <c r="G40" s="6" t="s">
        <v>26</v>
      </c>
      <c r="H40" s="6" t="s">
        <v>22</v>
      </c>
      <c r="I40" s="7">
        <v>1470</v>
      </c>
      <c r="J40" s="7">
        <v>1470</v>
      </c>
      <c r="K40" s="8">
        <v>459.72</v>
      </c>
      <c r="L40" s="8">
        <v>448.45</v>
      </c>
      <c r="M40" s="8">
        <f t="shared" si="0"/>
        <v>675788.4</v>
      </c>
      <c r="N40" s="8">
        <f t="shared" si="0"/>
        <v>659221.5</v>
      </c>
      <c r="O40" s="8">
        <f t="shared" si="1"/>
        <v>16566.900000000023</v>
      </c>
      <c r="P40" s="7">
        <f t="shared" si="2"/>
        <v>7</v>
      </c>
      <c r="Q40" s="9" t="str">
        <f t="shared" si="3"/>
        <v>No Prazo</v>
      </c>
      <c r="R40" s="10" t="str">
        <f t="shared" si="4"/>
        <v>Completo</v>
      </c>
    </row>
    <row r="41" spans="1:18" x14ac:dyDescent="0.3">
      <c r="A41" s="4" t="s">
        <v>104</v>
      </c>
      <c r="B41" s="5">
        <v>44399</v>
      </c>
      <c r="C41" s="5">
        <v>44416</v>
      </c>
      <c r="D41" s="5">
        <v>44414</v>
      </c>
      <c r="E41" s="6" t="s">
        <v>29</v>
      </c>
      <c r="F41" s="6" t="s">
        <v>30</v>
      </c>
      <c r="G41" s="6" t="s">
        <v>51</v>
      </c>
      <c r="H41" s="6" t="s">
        <v>53</v>
      </c>
      <c r="I41" s="7">
        <v>2115</v>
      </c>
      <c r="J41" s="7">
        <v>2115</v>
      </c>
      <c r="K41" s="8">
        <v>227.28</v>
      </c>
      <c r="L41" s="8">
        <v>204.83</v>
      </c>
      <c r="M41" s="8">
        <f t="shared" si="0"/>
        <v>480697.2</v>
      </c>
      <c r="N41" s="8">
        <f t="shared" si="0"/>
        <v>433215.45</v>
      </c>
      <c r="O41" s="8">
        <f t="shared" si="1"/>
        <v>47481.75</v>
      </c>
      <c r="P41" s="7">
        <f t="shared" si="2"/>
        <v>15</v>
      </c>
      <c r="Q41" s="9" t="str">
        <f t="shared" si="3"/>
        <v>No Prazo</v>
      </c>
      <c r="R41" s="10" t="str">
        <f t="shared" si="4"/>
        <v>Completo</v>
      </c>
    </row>
    <row r="42" spans="1:18" x14ac:dyDescent="0.3">
      <c r="A42" s="4" t="s">
        <v>105</v>
      </c>
      <c r="B42" s="5">
        <v>44406</v>
      </c>
      <c r="C42" s="5">
        <v>44416</v>
      </c>
      <c r="D42" s="5">
        <v>44415</v>
      </c>
      <c r="E42" s="6" t="s">
        <v>19</v>
      </c>
      <c r="F42" s="6" t="s">
        <v>47</v>
      </c>
      <c r="G42" s="6" t="s">
        <v>64</v>
      </c>
      <c r="H42" s="6" t="s">
        <v>81</v>
      </c>
      <c r="I42" s="7">
        <v>1790</v>
      </c>
      <c r="J42" s="7">
        <v>1790</v>
      </c>
      <c r="K42" s="8">
        <v>14.92</v>
      </c>
      <c r="L42" s="8">
        <v>14.53</v>
      </c>
      <c r="M42" s="8">
        <f t="shared" si="0"/>
        <v>26706.799999999999</v>
      </c>
      <c r="N42" s="8">
        <f t="shared" si="0"/>
        <v>26008.699999999997</v>
      </c>
      <c r="O42" s="8">
        <f t="shared" si="1"/>
        <v>698.10000000000218</v>
      </c>
      <c r="P42" s="7">
        <f t="shared" si="2"/>
        <v>9</v>
      </c>
      <c r="Q42" s="9" t="str">
        <f t="shared" si="3"/>
        <v>No Prazo</v>
      </c>
      <c r="R42" s="10" t="str">
        <f t="shared" si="4"/>
        <v>Completo</v>
      </c>
    </row>
    <row r="43" spans="1:18" x14ac:dyDescent="0.3">
      <c r="A43" s="4" t="s">
        <v>106</v>
      </c>
      <c r="B43" s="5">
        <v>44408</v>
      </c>
      <c r="C43" s="5">
        <v>44425</v>
      </c>
      <c r="D43" s="5">
        <v>44422</v>
      </c>
      <c r="E43" s="6" t="s">
        <v>44</v>
      </c>
      <c r="F43" s="6" t="s">
        <v>78</v>
      </c>
      <c r="G43" s="6" t="s">
        <v>51</v>
      </c>
      <c r="H43" s="6" t="s">
        <v>31</v>
      </c>
      <c r="I43" s="7">
        <v>1740</v>
      </c>
      <c r="J43" s="7">
        <v>1740</v>
      </c>
      <c r="K43" s="8">
        <v>370.75</v>
      </c>
      <c r="L43" s="8">
        <v>334.52</v>
      </c>
      <c r="M43" s="8">
        <f t="shared" si="0"/>
        <v>645105</v>
      </c>
      <c r="N43" s="8">
        <f t="shared" si="0"/>
        <v>582064.79999999993</v>
      </c>
      <c r="O43" s="8">
        <f t="shared" si="1"/>
        <v>63040.20000000007</v>
      </c>
      <c r="P43" s="7">
        <f t="shared" si="2"/>
        <v>14</v>
      </c>
      <c r="Q43" s="9" t="str">
        <f t="shared" si="3"/>
        <v>No Prazo</v>
      </c>
      <c r="R43" s="10" t="str">
        <f t="shared" si="4"/>
        <v>Completo</v>
      </c>
    </row>
    <row r="44" spans="1:18" x14ac:dyDescent="0.3">
      <c r="A44" s="4" t="s">
        <v>107</v>
      </c>
      <c r="B44" s="5">
        <v>44430</v>
      </c>
      <c r="C44" s="5">
        <v>44449</v>
      </c>
      <c r="D44" s="5">
        <v>44446</v>
      </c>
      <c r="E44" s="6" t="s">
        <v>37</v>
      </c>
      <c r="F44" s="6" t="s">
        <v>96</v>
      </c>
      <c r="G44" s="6" t="s">
        <v>51</v>
      </c>
      <c r="H44" s="6" t="s">
        <v>42</v>
      </c>
      <c r="I44" s="7">
        <v>1515</v>
      </c>
      <c r="J44" s="7">
        <v>1515</v>
      </c>
      <c r="K44" s="8">
        <v>89.42</v>
      </c>
      <c r="L44" s="8">
        <v>91.68</v>
      </c>
      <c r="M44" s="8">
        <f t="shared" si="0"/>
        <v>135471.29999999999</v>
      </c>
      <c r="N44" s="8">
        <f t="shared" si="0"/>
        <v>138895.20000000001</v>
      </c>
      <c r="O44" s="8">
        <f t="shared" si="1"/>
        <v>-3423.9000000000233</v>
      </c>
      <c r="P44" s="7">
        <f t="shared" si="2"/>
        <v>16</v>
      </c>
      <c r="Q44" s="9" t="str">
        <f t="shared" si="3"/>
        <v>No Prazo</v>
      </c>
      <c r="R44" s="10" t="str">
        <f t="shared" si="4"/>
        <v>Completo</v>
      </c>
    </row>
    <row r="45" spans="1:18" x14ac:dyDescent="0.3">
      <c r="A45" s="4" t="s">
        <v>108</v>
      </c>
      <c r="B45" s="5">
        <v>44436</v>
      </c>
      <c r="C45" s="5">
        <v>44452</v>
      </c>
      <c r="D45" s="5">
        <v>44451</v>
      </c>
      <c r="E45" s="6" t="s">
        <v>19</v>
      </c>
      <c r="F45" s="6" t="s">
        <v>73</v>
      </c>
      <c r="G45" s="6" t="s">
        <v>21</v>
      </c>
      <c r="H45" s="6" t="s">
        <v>42</v>
      </c>
      <c r="I45" s="7">
        <v>2250</v>
      </c>
      <c r="J45" s="7">
        <v>2250</v>
      </c>
      <c r="K45" s="8">
        <v>327.78</v>
      </c>
      <c r="L45" s="8">
        <v>310.58999999999997</v>
      </c>
      <c r="M45" s="8">
        <f t="shared" si="0"/>
        <v>737504.99999999988</v>
      </c>
      <c r="N45" s="8">
        <f t="shared" si="0"/>
        <v>698827.5</v>
      </c>
      <c r="O45" s="8">
        <f t="shared" si="1"/>
        <v>38677.499999999884</v>
      </c>
      <c r="P45" s="7">
        <f t="shared" si="2"/>
        <v>15</v>
      </c>
      <c r="Q45" s="9" t="str">
        <f t="shared" si="3"/>
        <v>No Prazo</v>
      </c>
      <c r="R45" s="10" t="str">
        <f t="shared" si="4"/>
        <v>Completo</v>
      </c>
    </row>
    <row r="46" spans="1:18" x14ac:dyDescent="0.3">
      <c r="A46" s="4" t="s">
        <v>109</v>
      </c>
      <c r="B46" s="5">
        <v>44437</v>
      </c>
      <c r="C46" s="5">
        <v>44448</v>
      </c>
      <c r="D46" s="5">
        <v>44444</v>
      </c>
      <c r="E46" s="6" t="s">
        <v>19</v>
      </c>
      <c r="F46" s="6" t="s">
        <v>50</v>
      </c>
      <c r="G46" s="6" t="s">
        <v>21</v>
      </c>
      <c r="H46" s="6" t="s">
        <v>53</v>
      </c>
      <c r="I46" s="7">
        <v>160</v>
      </c>
      <c r="J46" s="7">
        <v>160</v>
      </c>
      <c r="K46" s="8">
        <v>13.29</v>
      </c>
      <c r="L46" s="8">
        <v>13.79</v>
      </c>
      <c r="M46" s="8">
        <f t="shared" si="0"/>
        <v>2126.3999999999996</v>
      </c>
      <c r="N46" s="8">
        <f t="shared" si="0"/>
        <v>2206.3999999999996</v>
      </c>
      <c r="O46" s="8">
        <f t="shared" si="1"/>
        <v>-80</v>
      </c>
      <c r="P46" s="7">
        <f t="shared" si="2"/>
        <v>7</v>
      </c>
      <c r="Q46" s="9" t="str">
        <f t="shared" si="3"/>
        <v>No Prazo</v>
      </c>
      <c r="R46" s="10" t="str">
        <f t="shared" si="4"/>
        <v>Completo</v>
      </c>
    </row>
    <row r="47" spans="1:18" x14ac:dyDescent="0.3">
      <c r="A47" s="4" t="s">
        <v>110</v>
      </c>
      <c r="B47" s="5">
        <v>44443</v>
      </c>
      <c r="C47" s="5">
        <v>44462</v>
      </c>
      <c r="D47" s="5">
        <v>44462</v>
      </c>
      <c r="E47" s="6" t="s">
        <v>44</v>
      </c>
      <c r="F47" s="6" t="s">
        <v>69</v>
      </c>
      <c r="G47" s="6" t="s">
        <v>51</v>
      </c>
      <c r="H47" s="6" t="s">
        <v>88</v>
      </c>
      <c r="I47" s="7">
        <v>2070</v>
      </c>
      <c r="J47" s="7">
        <v>2070</v>
      </c>
      <c r="K47" s="8">
        <v>375.14</v>
      </c>
      <c r="L47" s="8">
        <v>354.38</v>
      </c>
      <c r="M47" s="8">
        <f t="shared" si="0"/>
        <v>776539.79999999993</v>
      </c>
      <c r="N47" s="8">
        <f t="shared" si="0"/>
        <v>733566.6</v>
      </c>
      <c r="O47" s="8">
        <f t="shared" si="1"/>
        <v>42973.199999999953</v>
      </c>
      <c r="P47" s="7">
        <f t="shared" si="2"/>
        <v>19</v>
      </c>
      <c r="Q47" s="9" t="str">
        <f t="shared" si="3"/>
        <v>No Prazo</v>
      </c>
      <c r="R47" s="10" t="str">
        <f t="shared" si="4"/>
        <v>Completo</v>
      </c>
    </row>
    <row r="48" spans="1:18" x14ac:dyDescent="0.3">
      <c r="A48" s="4" t="s">
        <v>111</v>
      </c>
      <c r="B48" s="5">
        <v>44458</v>
      </c>
      <c r="C48" s="5">
        <v>44469</v>
      </c>
      <c r="D48" s="5">
        <v>44468</v>
      </c>
      <c r="E48" s="6" t="s">
        <v>55</v>
      </c>
      <c r="F48" s="6" t="s">
        <v>75</v>
      </c>
      <c r="G48" s="6" t="s">
        <v>51</v>
      </c>
      <c r="H48" s="6" t="s">
        <v>22</v>
      </c>
      <c r="I48" s="7">
        <v>725</v>
      </c>
      <c r="J48" s="7">
        <v>725</v>
      </c>
      <c r="K48" s="8">
        <v>296.08</v>
      </c>
      <c r="L48" s="8">
        <v>309.08999999999997</v>
      </c>
      <c r="M48" s="8">
        <f t="shared" si="0"/>
        <v>214658</v>
      </c>
      <c r="N48" s="8">
        <f t="shared" si="0"/>
        <v>224090.24999999997</v>
      </c>
      <c r="O48" s="8">
        <f t="shared" si="1"/>
        <v>-9432.2499999999709</v>
      </c>
      <c r="P48" s="7">
        <f t="shared" si="2"/>
        <v>10</v>
      </c>
      <c r="Q48" s="9" t="str">
        <f t="shared" si="3"/>
        <v>No Prazo</v>
      </c>
      <c r="R48" s="10" t="str">
        <f t="shared" si="4"/>
        <v>Completo</v>
      </c>
    </row>
    <row r="49" spans="1:18" x14ac:dyDescent="0.3">
      <c r="A49" s="4" t="s">
        <v>112</v>
      </c>
      <c r="B49" s="5">
        <v>44460</v>
      </c>
      <c r="C49" s="5">
        <v>44480</v>
      </c>
      <c r="D49" s="5">
        <v>44476</v>
      </c>
      <c r="E49" s="6" t="s">
        <v>29</v>
      </c>
      <c r="F49" s="6" t="s">
        <v>113</v>
      </c>
      <c r="G49" s="6" t="s">
        <v>34</v>
      </c>
      <c r="H49" s="6" t="s">
        <v>59</v>
      </c>
      <c r="I49" s="7">
        <v>795</v>
      </c>
      <c r="J49" s="7">
        <v>795</v>
      </c>
      <c r="K49" s="8">
        <v>71.540000000000006</v>
      </c>
      <c r="L49" s="8">
        <v>73.52</v>
      </c>
      <c r="M49" s="8">
        <f t="shared" si="0"/>
        <v>56874.3</v>
      </c>
      <c r="N49" s="8">
        <f t="shared" si="0"/>
        <v>58448.399999999994</v>
      </c>
      <c r="O49" s="8">
        <f t="shared" si="1"/>
        <v>-1574.0999999999913</v>
      </c>
      <c r="P49" s="7">
        <f t="shared" si="2"/>
        <v>16</v>
      </c>
      <c r="Q49" s="9" t="str">
        <f t="shared" si="3"/>
        <v>No Prazo</v>
      </c>
      <c r="R49" s="10" t="str">
        <f t="shared" si="4"/>
        <v>Completo</v>
      </c>
    </row>
    <row r="50" spans="1:18" x14ac:dyDescent="0.3">
      <c r="A50" s="4" t="s">
        <v>114</v>
      </c>
      <c r="B50" s="5">
        <v>44466</v>
      </c>
      <c r="C50" s="5">
        <v>44473</v>
      </c>
      <c r="D50" s="5">
        <v>44471</v>
      </c>
      <c r="E50" s="6" t="s">
        <v>44</v>
      </c>
      <c r="F50" s="6" t="s">
        <v>61</v>
      </c>
      <c r="G50" s="6" t="s">
        <v>34</v>
      </c>
      <c r="H50" s="6" t="s">
        <v>53</v>
      </c>
      <c r="I50" s="7">
        <v>1065</v>
      </c>
      <c r="J50" s="7">
        <v>877</v>
      </c>
      <c r="K50" s="8">
        <v>258.26</v>
      </c>
      <c r="L50" s="8">
        <v>261.04000000000002</v>
      </c>
      <c r="M50" s="8">
        <f t="shared" si="0"/>
        <v>275046.89999999997</v>
      </c>
      <c r="N50" s="8">
        <f t="shared" si="0"/>
        <v>228932.08000000002</v>
      </c>
      <c r="O50" s="8">
        <f t="shared" si="1"/>
        <v>46114.819999999949</v>
      </c>
      <c r="P50" s="7">
        <f t="shared" si="2"/>
        <v>5</v>
      </c>
      <c r="Q50" s="9" t="str">
        <f t="shared" si="3"/>
        <v>No Prazo</v>
      </c>
      <c r="R50" s="10" t="str">
        <f t="shared" si="4"/>
        <v>Incompleto</v>
      </c>
    </row>
    <row r="51" spans="1:18" x14ac:dyDescent="0.3">
      <c r="A51" s="4" t="s">
        <v>115</v>
      </c>
      <c r="B51" s="5">
        <v>44469</v>
      </c>
      <c r="C51" s="5">
        <v>44477</v>
      </c>
      <c r="D51" s="5">
        <v>44474</v>
      </c>
      <c r="E51" s="6" t="s">
        <v>24</v>
      </c>
      <c r="F51" s="6" t="s">
        <v>116</v>
      </c>
      <c r="G51" s="6" t="s">
        <v>64</v>
      </c>
      <c r="H51" s="6" t="s">
        <v>57</v>
      </c>
      <c r="I51" s="7">
        <v>2425</v>
      </c>
      <c r="J51" s="7">
        <v>2425</v>
      </c>
      <c r="K51" s="8">
        <v>46.41</v>
      </c>
      <c r="L51" s="8">
        <v>44.46</v>
      </c>
      <c r="M51" s="8">
        <f t="shared" si="0"/>
        <v>112544.24999999999</v>
      </c>
      <c r="N51" s="8">
        <f t="shared" si="0"/>
        <v>107815.5</v>
      </c>
      <c r="O51" s="8">
        <f t="shared" si="1"/>
        <v>4728.7499999999854</v>
      </c>
      <c r="P51" s="7">
        <f t="shared" si="2"/>
        <v>5</v>
      </c>
      <c r="Q51" s="9" t="str">
        <f t="shared" si="3"/>
        <v>No Prazo</v>
      </c>
      <c r="R51" s="10" t="str">
        <f t="shared" si="4"/>
        <v>Completo</v>
      </c>
    </row>
    <row r="52" spans="1:18" x14ac:dyDescent="0.3">
      <c r="A52" s="4" t="s">
        <v>117</v>
      </c>
      <c r="B52" s="5">
        <v>44485</v>
      </c>
      <c r="C52" s="5">
        <v>44505</v>
      </c>
      <c r="D52" s="5">
        <v>44503</v>
      </c>
      <c r="E52" s="6" t="s">
        <v>29</v>
      </c>
      <c r="F52" s="6" t="s">
        <v>30</v>
      </c>
      <c r="G52" s="6" t="s">
        <v>26</v>
      </c>
      <c r="H52" s="6" t="s">
        <v>35</v>
      </c>
      <c r="I52" s="7">
        <v>420</v>
      </c>
      <c r="J52" s="7">
        <v>420</v>
      </c>
      <c r="K52" s="8">
        <v>215.71</v>
      </c>
      <c r="L52" s="8">
        <v>205.27</v>
      </c>
      <c r="M52" s="8">
        <f t="shared" si="0"/>
        <v>90598.2</v>
      </c>
      <c r="N52" s="8">
        <f t="shared" si="0"/>
        <v>86213.400000000009</v>
      </c>
      <c r="O52" s="8">
        <f t="shared" si="1"/>
        <v>4384.7999999999884</v>
      </c>
      <c r="P52" s="7">
        <f t="shared" si="2"/>
        <v>18</v>
      </c>
      <c r="Q52" s="9" t="str">
        <f t="shared" si="3"/>
        <v>No Prazo</v>
      </c>
      <c r="R52" s="10" t="str">
        <f t="shared" si="4"/>
        <v>Completo</v>
      </c>
    </row>
    <row r="53" spans="1:18" x14ac:dyDescent="0.3">
      <c r="A53" s="4" t="s">
        <v>118</v>
      </c>
      <c r="B53" s="5">
        <v>44487</v>
      </c>
      <c r="C53" s="5">
        <v>44507</v>
      </c>
      <c r="D53" s="5">
        <v>44505</v>
      </c>
      <c r="E53" s="6" t="s">
        <v>29</v>
      </c>
      <c r="F53" s="6" t="s">
        <v>33</v>
      </c>
      <c r="G53" s="6" t="s">
        <v>26</v>
      </c>
      <c r="H53" s="6" t="s">
        <v>22</v>
      </c>
      <c r="I53" s="7">
        <v>1055</v>
      </c>
      <c r="J53" s="7">
        <v>878</v>
      </c>
      <c r="K53" s="8">
        <v>152.38999999999999</v>
      </c>
      <c r="L53" s="8">
        <v>142.82</v>
      </c>
      <c r="M53" s="8">
        <f t="shared" si="0"/>
        <v>160771.44999999998</v>
      </c>
      <c r="N53" s="8">
        <f t="shared" si="0"/>
        <v>125395.95999999999</v>
      </c>
      <c r="O53" s="8">
        <f t="shared" si="1"/>
        <v>35375.489999999991</v>
      </c>
      <c r="P53" s="7">
        <f t="shared" si="2"/>
        <v>18</v>
      </c>
      <c r="Q53" s="9" t="str">
        <f t="shared" si="3"/>
        <v>No Prazo</v>
      </c>
      <c r="R53" s="10" t="str">
        <f t="shared" si="4"/>
        <v>Incompleto</v>
      </c>
    </row>
    <row r="54" spans="1:18" x14ac:dyDescent="0.3">
      <c r="A54" s="4" t="s">
        <v>119</v>
      </c>
      <c r="B54" s="5">
        <v>44497</v>
      </c>
      <c r="C54" s="5">
        <v>44515</v>
      </c>
      <c r="D54" s="5">
        <v>44515</v>
      </c>
      <c r="E54" s="6" t="s">
        <v>19</v>
      </c>
      <c r="F54" s="6" t="s">
        <v>120</v>
      </c>
      <c r="G54" s="6" t="s">
        <v>51</v>
      </c>
      <c r="H54" s="6" t="s">
        <v>59</v>
      </c>
      <c r="I54" s="7">
        <v>1960</v>
      </c>
      <c r="J54" s="7">
        <v>1960</v>
      </c>
      <c r="K54" s="8">
        <v>416.43</v>
      </c>
      <c r="L54" s="8">
        <v>386.01</v>
      </c>
      <c r="M54" s="8">
        <f t="shared" si="0"/>
        <v>816202.8</v>
      </c>
      <c r="N54" s="8">
        <f t="shared" si="0"/>
        <v>756579.6</v>
      </c>
      <c r="O54" s="8">
        <f t="shared" si="1"/>
        <v>59623.20000000007</v>
      </c>
      <c r="P54" s="7">
        <f t="shared" si="2"/>
        <v>18</v>
      </c>
      <c r="Q54" s="9" t="str">
        <f t="shared" si="3"/>
        <v>No Prazo</v>
      </c>
      <c r="R54" s="10" t="str">
        <f t="shared" si="4"/>
        <v>Completo</v>
      </c>
    </row>
    <row r="55" spans="1:18" x14ac:dyDescent="0.3">
      <c r="A55" s="4" t="s">
        <v>121</v>
      </c>
      <c r="B55" s="5">
        <v>44508</v>
      </c>
      <c r="C55" s="5">
        <v>44517</v>
      </c>
      <c r="D55" s="5">
        <v>44513</v>
      </c>
      <c r="E55" s="6" t="s">
        <v>29</v>
      </c>
      <c r="F55" s="6" t="s">
        <v>113</v>
      </c>
      <c r="G55" s="6" t="s">
        <v>51</v>
      </c>
      <c r="H55" s="6" t="s">
        <v>27</v>
      </c>
      <c r="I55" s="7">
        <v>410</v>
      </c>
      <c r="J55" s="7">
        <v>262</v>
      </c>
      <c r="K55" s="8">
        <v>319.20999999999998</v>
      </c>
      <c r="L55" s="8">
        <v>316.83999999999997</v>
      </c>
      <c r="M55" s="8">
        <f t="shared" si="0"/>
        <v>130876.09999999999</v>
      </c>
      <c r="N55" s="8">
        <f t="shared" si="0"/>
        <v>83012.079999999987</v>
      </c>
      <c r="O55" s="8">
        <f t="shared" si="1"/>
        <v>47864.020000000004</v>
      </c>
      <c r="P55" s="7">
        <f t="shared" si="2"/>
        <v>5</v>
      </c>
      <c r="Q55" s="9" t="str">
        <f t="shared" si="3"/>
        <v>No Prazo</v>
      </c>
      <c r="R55" s="10" t="str">
        <f t="shared" si="4"/>
        <v>Incompleto</v>
      </c>
    </row>
    <row r="56" spans="1:18" x14ac:dyDescent="0.3">
      <c r="A56" s="4" t="s">
        <v>122</v>
      </c>
      <c r="B56" s="5">
        <v>44528</v>
      </c>
      <c r="C56" s="5">
        <v>44546</v>
      </c>
      <c r="D56" s="5">
        <v>44546</v>
      </c>
      <c r="E56" s="6" t="s">
        <v>29</v>
      </c>
      <c r="F56" s="6" t="s">
        <v>33</v>
      </c>
      <c r="G56" s="6" t="s">
        <v>64</v>
      </c>
      <c r="H56" s="6" t="s">
        <v>35</v>
      </c>
      <c r="I56" s="7">
        <v>640</v>
      </c>
      <c r="J56" s="7">
        <v>640</v>
      </c>
      <c r="K56" s="8">
        <v>306.91000000000003</v>
      </c>
      <c r="L56" s="8">
        <v>279.81</v>
      </c>
      <c r="M56" s="8">
        <f t="shared" si="0"/>
        <v>196422.40000000002</v>
      </c>
      <c r="N56" s="8">
        <f t="shared" si="0"/>
        <v>179078.39999999999</v>
      </c>
      <c r="O56" s="8">
        <f t="shared" si="1"/>
        <v>17344.000000000029</v>
      </c>
      <c r="P56" s="7">
        <f t="shared" si="2"/>
        <v>18</v>
      </c>
      <c r="Q56" s="9" t="str">
        <f t="shared" si="3"/>
        <v>No Prazo</v>
      </c>
      <c r="R56" s="10" t="str">
        <f t="shared" si="4"/>
        <v>Completo</v>
      </c>
    </row>
    <row r="57" spans="1:18" x14ac:dyDescent="0.3">
      <c r="A57" s="4" t="s">
        <v>123</v>
      </c>
      <c r="B57" s="5">
        <v>44559</v>
      </c>
      <c r="C57" s="5">
        <v>44573</v>
      </c>
      <c r="D57" s="5">
        <v>44574</v>
      </c>
      <c r="E57" s="6" t="s">
        <v>19</v>
      </c>
      <c r="F57" s="6" t="s">
        <v>120</v>
      </c>
      <c r="G57" s="6" t="s">
        <v>34</v>
      </c>
      <c r="H57" s="6" t="s">
        <v>39</v>
      </c>
      <c r="I57" s="7">
        <v>2065</v>
      </c>
      <c r="J57" s="7">
        <v>2065</v>
      </c>
      <c r="K57" s="8">
        <v>450.36</v>
      </c>
      <c r="L57" s="8">
        <v>469.98</v>
      </c>
      <c r="M57" s="8">
        <f t="shared" si="0"/>
        <v>929993.4</v>
      </c>
      <c r="N57" s="8">
        <f t="shared" si="0"/>
        <v>970508.70000000007</v>
      </c>
      <c r="O57" s="8">
        <f t="shared" si="1"/>
        <v>-40515.300000000047</v>
      </c>
      <c r="P57" s="7">
        <f t="shared" si="2"/>
        <v>15</v>
      </c>
      <c r="Q57" s="9" t="str">
        <f t="shared" si="3"/>
        <v>Com Atraso</v>
      </c>
      <c r="R57" s="10" t="str">
        <f t="shared" si="4"/>
        <v>Completo</v>
      </c>
    </row>
    <row r="58" spans="1:18" x14ac:dyDescent="0.3">
      <c r="A58" s="4" t="s">
        <v>124</v>
      </c>
      <c r="B58" s="5">
        <v>44561</v>
      </c>
      <c r="C58" s="5">
        <v>44580</v>
      </c>
      <c r="D58" s="5">
        <v>44580</v>
      </c>
      <c r="E58" s="6" t="s">
        <v>66</v>
      </c>
      <c r="F58" s="6" t="s">
        <v>125</v>
      </c>
      <c r="G58" s="6" t="s">
        <v>64</v>
      </c>
      <c r="H58" s="6" t="s">
        <v>31</v>
      </c>
      <c r="I58" s="7">
        <v>1475</v>
      </c>
      <c r="J58" s="7">
        <v>1475</v>
      </c>
      <c r="K58" s="8">
        <v>409.1</v>
      </c>
      <c r="L58" s="8">
        <v>391.75</v>
      </c>
      <c r="M58" s="8">
        <f t="shared" si="0"/>
        <v>603422.5</v>
      </c>
      <c r="N58" s="8">
        <f t="shared" si="0"/>
        <v>577831.25</v>
      </c>
      <c r="O58" s="8">
        <f t="shared" si="1"/>
        <v>25591.25</v>
      </c>
      <c r="P58" s="7">
        <f t="shared" si="2"/>
        <v>19</v>
      </c>
      <c r="Q58" s="9" t="str">
        <f t="shared" si="3"/>
        <v>No Prazo</v>
      </c>
      <c r="R58" s="10" t="str">
        <f t="shared" si="4"/>
        <v>Completo</v>
      </c>
    </row>
    <row r="59" spans="1:18" x14ac:dyDescent="0.3">
      <c r="A59" s="4" t="s">
        <v>126</v>
      </c>
      <c r="B59" s="5">
        <v>44570</v>
      </c>
      <c r="C59" s="5">
        <v>44588</v>
      </c>
      <c r="D59" s="5">
        <v>44587</v>
      </c>
      <c r="E59" s="6" t="s">
        <v>44</v>
      </c>
      <c r="F59" s="6" t="s">
        <v>127</v>
      </c>
      <c r="G59" s="6" t="s">
        <v>26</v>
      </c>
      <c r="H59" s="6" t="s">
        <v>81</v>
      </c>
      <c r="I59" s="7">
        <v>250</v>
      </c>
      <c r="J59" s="7">
        <v>250</v>
      </c>
      <c r="K59" s="8">
        <v>150.71</v>
      </c>
      <c r="L59" s="8">
        <v>144.05000000000001</v>
      </c>
      <c r="M59" s="8">
        <f t="shared" si="0"/>
        <v>37677.5</v>
      </c>
      <c r="N59" s="8">
        <f t="shared" si="0"/>
        <v>36012.5</v>
      </c>
      <c r="O59" s="8">
        <f t="shared" si="1"/>
        <v>1665</v>
      </c>
      <c r="P59" s="7">
        <f t="shared" si="2"/>
        <v>17</v>
      </c>
      <c r="Q59" s="9" t="str">
        <f t="shared" si="3"/>
        <v>No Prazo</v>
      </c>
      <c r="R59" s="10" t="str">
        <f t="shared" si="4"/>
        <v>Completo</v>
      </c>
    </row>
    <row r="60" spans="1:18" x14ac:dyDescent="0.3">
      <c r="A60" s="4" t="s">
        <v>128</v>
      </c>
      <c r="B60" s="5">
        <v>44577</v>
      </c>
      <c r="C60" s="5">
        <v>44596</v>
      </c>
      <c r="D60" s="5">
        <v>44605</v>
      </c>
      <c r="E60" s="6" t="s">
        <v>66</v>
      </c>
      <c r="F60" s="6" t="s">
        <v>125</v>
      </c>
      <c r="G60" s="6" t="s">
        <v>64</v>
      </c>
      <c r="H60" s="6" t="s">
        <v>42</v>
      </c>
      <c r="I60" s="7">
        <v>2220</v>
      </c>
      <c r="J60" s="7">
        <v>2220</v>
      </c>
      <c r="K60" s="8">
        <v>413.4</v>
      </c>
      <c r="L60" s="8">
        <v>373.94</v>
      </c>
      <c r="M60" s="8">
        <f t="shared" si="0"/>
        <v>917748</v>
      </c>
      <c r="N60" s="8">
        <f t="shared" si="0"/>
        <v>830146.8</v>
      </c>
      <c r="O60" s="8">
        <f t="shared" si="1"/>
        <v>87601.199999999953</v>
      </c>
      <c r="P60" s="7">
        <f t="shared" si="2"/>
        <v>28</v>
      </c>
      <c r="Q60" s="9" t="str">
        <f t="shared" si="3"/>
        <v>Com Atraso</v>
      </c>
      <c r="R60" s="10" t="str">
        <f t="shared" si="4"/>
        <v>Completo</v>
      </c>
    </row>
    <row r="61" spans="1:18" x14ac:dyDescent="0.3">
      <c r="A61" s="4" t="s">
        <v>129</v>
      </c>
      <c r="B61" s="5">
        <v>44579</v>
      </c>
      <c r="C61" s="5">
        <v>44594</v>
      </c>
      <c r="D61" s="5">
        <v>44594</v>
      </c>
      <c r="E61" s="6" t="s">
        <v>55</v>
      </c>
      <c r="F61" s="6" t="s">
        <v>75</v>
      </c>
      <c r="G61" s="6" t="s">
        <v>26</v>
      </c>
      <c r="H61" s="6" t="s">
        <v>42</v>
      </c>
      <c r="I61" s="7">
        <v>65</v>
      </c>
      <c r="J61" s="7">
        <v>65</v>
      </c>
      <c r="K61" s="8">
        <v>122.61</v>
      </c>
      <c r="L61" s="8">
        <v>123.61</v>
      </c>
      <c r="M61" s="8">
        <f t="shared" si="0"/>
        <v>7969.65</v>
      </c>
      <c r="N61" s="8">
        <f t="shared" si="0"/>
        <v>8034.65</v>
      </c>
      <c r="O61" s="8">
        <f t="shared" si="1"/>
        <v>-65</v>
      </c>
      <c r="P61" s="7">
        <f t="shared" si="2"/>
        <v>15</v>
      </c>
      <c r="Q61" s="9" t="str">
        <f t="shared" si="3"/>
        <v>No Prazo</v>
      </c>
      <c r="R61" s="10" t="str">
        <f t="shared" si="4"/>
        <v>Completo</v>
      </c>
    </row>
    <row r="62" spans="1:18" x14ac:dyDescent="0.3">
      <c r="A62" s="4" t="s">
        <v>130</v>
      </c>
      <c r="B62" s="5">
        <v>44583</v>
      </c>
      <c r="C62" s="5">
        <v>44598</v>
      </c>
      <c r="D62" s="5">
        <v>44598</v>
      </c>
      <c r="E62" s="6" t="s">
        <v>29</v>
      </c>
      <c r="F62" s="6" t="s">
        <v>30</v>
      </c>
      <c r="G62" s="6" t="s">
        <v>21</v>
      </c>
      <c r="H62" s="6" t="s">
        <v>35</v>
      </c>
      <c r="I62" s="7">
        <v>340</v>
      </c>
      <c r="J62" s="7">
        <v>340</v>
      </c>
      <c r="K62" s="8">
        <v>415.78</v>
      </c>
      <c r="L62" s="8">
        <v>403.19</v>
      </c>
      <c r="M62" s="8">
        <f t="shared" si="0"/>
        <v>141365.19999999998</v>
      </c>
      <c r="N62" s="8">
        <f t="shared" si="0"/>
        <v>137084.6</v>
      </c>
      <c r="O62" s="8">
        <f t="shared" si="1"/>
        <v>4280.5999999999767</v>
      </c>
      <c r="P62" s="7">
        <f t="shared" si="2"/>
        <v>15</v>
      </c>
      <c r="Q62" s="9" t="str">
        <f t="shared" si="3"/>
        <v>No Prazo</v>
      </c>
      <c r="R62" s="10" t="str">
        <f t="shared" si="4"/>
        <v>Completo</v>
      </c>
    </row>
    <row r="63" spans="1:18" x14ac:dyDescent="0.3">
      <c r="A63" s="4" t="s">
        <v>131</v>
      </c>
      <c r="B63" s="5">
        <v>44592</v>
      </c>
      <c r="C63" s="5">
        <v>44612</v>
      </c>
      <c r="D63" s="5">
        <v>44608</v>
      </c>
      <c r="E63" s="6" t="s">
        <v>37</v>
      </c>
      <c r="F63" s="6" t="s">
        <v>38</v>
      </c>
      <c r="G63" s="6" t="s">
        <v>64</v>
      </c>
      <c r="H63" s="6" t="s">
        <v>35</v>
      </c>
      <c r="I63" s="7">
        <v>1470</v>
      </c>
      <c r="J63" s="7">
        <v>1470</v>
      </c>
      <c r="K63" s="8">
        <v>335.36</v>
      </c>
      <c r="L63" s="8">
        <v>331.94</v>
      </c>
      <c r="M63" s="8">
        <f t="shared" si="0"/>
        <v>492979.20000000001</v>
      </c>
      <c r="N63" s="8">
        <f t="shared" si="0"/>
        <v>487951.8</v>
      </c>
      <c r="O63" s="8">
        <f t="shared" si="1"/>
        <v>5027.4000000000233</v>
      </c>
      <c r="P63" s="7">
        <f t="shared" si="2"/>
        <v>16</v>
      </c>
      <c r="Q63" s="9" t="str">
        <f t="shared" si="3"/>
        <v>No Prazo</v>
      </c>
      <c r="R63" s="10" t="str">
        <f t="shared" si="4"/>
        <v>Completo</v>
      </c>
    </row>
    <row r="64" spans="1:18" x14ac:dyDescent="0.3">
      <c r="A64" s="4" t="s">
        <v>132</v>
      </c>
      <c r="B64" s="5">
        <v>44594</v>
      </c>
      <c r="C64" s="5">
        <v>44613</v>
      </c>
      <c r="D64" s="5">
        <v>44610</v>
      </c>
      <c r="E64" s="6" t="s">
        <v>44</v>
      </c>
      <c r="F64" s="6" t="s">
        <v>78</v>
      </c>
      <c r="G64" s="6" t="s">
        <v>26</v>
      </c>
      <c r="H64" s="6" t="s">
        <v>57</v>
      </c>
      <c r="I64" s="7">
        <v>730</v>
      </c>
      <c r="J64" s="7">
        <v>730</v>
      </c>
      <c r="K64" s="8">
        <v>49.44</v>
      </c>
      <c r="L64" s="8">
        <v>51.57</v>
      </c>
      <c r="M64" s="8">
        <f t="shared" si="0"/>
        <v>36091.199999999997</v>
      </c>
      <c r="N64" s="8">
        <f t="shared" si="0"/>
        <v>37646.1</v>
      </c>
      <c r="O64" s="8">
        <f t="shared" si="1"/>
        <v>-1554.9000000000015</v>
      </c>
      <c r="P64" s="7">
        <f t="shared" si="2"/>
        <v>16</v>
      </c>
      <c r="Q64" s="9" t="str">
        <f t="shared" si="3"/>
        <v>No Prazo</v>
      </c>
      <c r="R64" s="10" t="str">
        <f t="shared" si="4"/>
        <v>Completo</v>
      </c>
    </row>
    <row r="65" spans="1:18" x14ac:dyDescent="0.3">
      <c r="A65" s="4" t="s">
        <v>133</v>
      </c>
      <c r="B65" s="5">
        <v>44605</v>
      </c>
      <c r="C65" s="5">
        <v>44612</v>
      </c>
      <c r="D65" s="5">
        <v>44612</v>
      </c>
      <c r="E65" s="6" t="s">
        <v>19</v>
      </c>
      <c r="F65" s="6" t="s">
        <v>50</v>
      </c>
      <c r="G65" s="6" t="s">
        <v>64</v>
      </c>
      <c r="H65" s="6" t="s">
        <v>39</v>
      </c>
      <c r="I65" s="7">
        <v>60</v>
      </c>
      <c r="J65" s="7">
        <v>60</v>
      </c>
      <c r="K65" s="8">
        <v>108.7</v>
      </c>
      <c r="L65" s="8">
        <v>109.56</v>
      </c>
      <c r="M65" s="8">
        <f t="shared" si="0"/>
        <v>6522</v>
      </c>
      <c r="N65" s="8">
        <f t="shared" si="0"/>
        <v>6573.6</v>
      </c>
      <c r="O65" s="8">
        <f t="shared" si="1"/>
        <v>-51.600000000000364</v>
      </c>
      <c r="P65" s="7">
        <f t="shared" si="2"/>
        <v>7</v>
      </c>
      <c r="Q65" s="9" t="str">
        <f t="shared" si="3"/>
        <v>No Prazo</v>
      </c>
      <c r="R65" s="10" t="str">
        <f t="shared" si="4"/>
        <v>Completo</v>
      </c>
    </row>
    <row r="66" spans="1:18" x14ac:dyDescent="0.3">
      <c r="A66" s="4" t="s">
        <v>134</v>
      </c>
      <c r="B66" s="5">
        <v>44608</v>
      </c>
      <c r="C66" s="5">
        <v>44619</v>
      </c>
      <c r="D66" s="5">
        <v>44618</v>
      </c>
      <c r="E66" s="6" t="s">
        <v>55</v>
      </c>
      <c r="F66" s="6" t="s">
        <v>135</v>
      </c>
      <c r="G66" s="6" t="s">
        <v>34</v>
      </c>
      <c r="H66" s="6" t="s">
        <v>42</v>
      </c>
      <c r="I66" s="7">
        <v>1265</v>
      </c>
      <c r="J66" s="7">
        <v>1265</v>
      </c>
      <c r="K66" s="8">
        <v>371.77</v>
      </c>
      <c r="L66" s="8">
        <v>355.94</v>
      </c>
      <c r="M66" s="8">
        <f t="shared" ref="M66:N129" si="5">I66*K66</f>
        <v>470289.05</v>
      </c>
      <c r="N66" s="8">
        <f t="shared" si="5"/>
        <v>450264.1</v>
      </c>
      <c r="O66" s="8">
        <f t="shared" ref="O66:O129" si="6">M66-N66</f>
        <v>20024.950000000012</v>
      </c>
      <c r="P66" s="7">
        <f t="shared" ref="P66:P129" si="7">D66-B66</f>
        <v>10</v>
      </c>
      <c r="Q66" s="9" t="str">
        <f t="shared" ref="Q66:Q129" si="8">IF(D66&lt;=C66,"No Prazo","Com Atraso")</f>
        <v>No Prazo</v>
      </c>
      <c r="R66" s="10" t="str">
        <f t="shared" ref="R66:R129" si="9">IF(J66&gt;=I66,"Completo","Incompleto")</f>
        <v>Completo</v>
      </c>
    </row>
    <row r="67" spans="1:18" x14ac:dyDescent="0.3">
      <c r="A67" s="4" t="s">
        <v>136</v>
      </c>
      <c r="B67" s="5">
        <v>44608</v>
      </c>
      <c r="C67" s="5">
        <v>44622</v>
      </c>
      <c r="D67" s="5">
        <v>44621</v>
      </c>
      <c r="E67" s="6" t="s">
        <v>19</v>
      </c>
      <c r="F67" s="6" t="s">
        <v>20</v>
      </c>
      <c r="G67" s="6" t="s">
        <v>34</v>
      </c>
      <c r="H67" s="6" t="s">
        <v>42</v>
      </c>
      <c r="I67" s="7">
        <v>1025</v>
      </c>
      <c r="J67" s="7">
        <v>1025</v>
      </c>
      <c r="K67" s="8">
        <v>281.22000000000003</v>
      </c>
      <c r="L67" s="8">
        <v>294.93</v>
      </c>
      <c r="M67" s="8">
        <f t="shared" si="5"/>
        <v>288250.5</v>
      </c>
      <c r="N67" s="8">
        <f t="shared" si="5"/>
        <v>302303.25</v>
      </c>
      <c r="O67" s="8">
        <f t="shared" si="6"/>
        <v>-14052.75</v>
      </c>
      <c r="P67" s="7">
        <f t="shared" si="7"/>
        <v>13</v>
      </c>
      <c r="Q67" s="9" t="str">
        <f t="shared" si="8"/>
        <v>No Prazo</v>
      </c>
      <c r="R67" s="10" t="str">
        <f t="shared" si="9"/>
        <v>Completo</v>
      </c>
    </row>
    <row r="68" spans="1:18" x14ac:dyDescent="0.3">
      <c r="A68" s="4" t="s">
        <v>137</v>
      </c>
      <c r="B68" s="5">
        <v>44630</v>
      </c>
      <c r="C68" s="5">
        <v>44641</v>
      </c>
      <c r="D68" s="5">
        <v>44637</v>
      </c>
      <c r="E68" s="6" t="s">
        <v>66</v>
      </c>
      <c r="F68" s="6" t="s">
        <v>125</v>
      </c>
      <c r="G68" s="6" t="s">
        <v>26</v>
      </c>
      <c r="H68" s="6" t="s">
        <v>48</v>
      </c>
      <c r="I68" s="7">
        <v>1610</v>
      </c>
      <c r="J68" s="7">
        <v>1610</v>
      </c>
      <c r="K68" s="8">
        <v>90.1</v>
      </c>
      <c r="L68" s="8">
        <v>81.42</v>
      </c>
      <c r="M68" s="8">
        <f t="shared" si="5"/>
        <v>145061</v>
      </c>
      <c r="N68" s="8">
        <f t="shared" si="5"/>
        <v>131086.20000000001</v>
      </c>
      <c r="O68" s="8">
        <f t="shared" si="6"/>
        <v>13974.799999999988</v>
      </c>
      <c r="P68" s="7">
        <f t="shared" si="7"/>
        <v>7</v>
      </c>
      <c r="Q68" s="9" t="str">
        <f t="shared" si="8"/>
        <v>No Prazo</v>
      </c>
      <c r="R68" s="10" t="str">
        <f t="shared" si="9"/>
        <v>Completo</v>
      </c>
    </row>
    <row r="69" spans="1:18" x14ac:dyDescent="0.3">
      <c r="A69" s="4" t="s">
        <v>138</v>
      </c>
      <c r="B69" s="5">
        <v>44632</v>
      </c>
      <c r="C69" s="5">
        <v>44638</v>
      </c>
      <c r="D69" s="5">
        <v>44637</v>
      </c>
      <c r="E69" s="6" t="s">
        <v>24</v>
      </c>
      <c r="F69" s="6" t="s">
        <v>116</v>
      </c>
      <c r="G69" s="6" t="s">
        <v>21</v>
      </c>
      <c r="H69" s="6" t="s">
        <v>27</v>
      </c>
      <c r="I69" s="7">
        <v>1670</v>
      </c>
      <c r="J69" s="7">
        <v>1670</v>
      </c>
      <c r="K69" s="8">
        <v>248.78</v>
      </c>
      <c r="L69" s="8">
        <v>229.55</v>
      </c>
      <c r="M69" s="8">
        <f t="shared" si="5"/>
        <v>415462.6</v>
      </c>
      <c r="N69" s="8">
        <f t="shared" si="5"/>
        <v>383348.5</v>
      </c>
      <c r="O69" s="8">
        <f t="shared" si="6"/>
        <v>32114.099999999977</v>
      </c>
      <c r="P69" s="7">
        <f t="shared" si="7"/>
        <v>5</v>
      </c>
      <c r="Q69" s="9" t="str">
        <f t="shared" si="8"/>
        <v>No Prazo</v>
      </c>
      <c r="R69" s="10" t="str">
        <f t="shared" si="9"/>
        <v>Completo</v>
      </c>
    </row>
    <row r="70" spans="1:18" x14ac:dyDescent="0.3">
      <c r="A70" s="4" t="s">
        <v>139</v>
      </c>
      <c r="B70" s="5">
        <v>44649</v>
      </c>
      <c r="C70" s="5">
        <v>44658</v>
      </c>
      <c r="D70" s="5">
        <v>44654</v>
      </c>
      <c r="E70" s="6" t="s">
        <v>24</v>
      </c>
      <c r="F70" s="6" t="s">
        <v>98</v>
      </c>
      <c r="G70" s="6" t="s">
        <v>51</v>
      </c>
      <c r="H70" s="6" t="s">
        <v>53</v>
      </c>
      <c r="I70" s="7">
        <v>1785</v>
      </c>
      <c r="J70" s="7">
        <v>1785</v>
      </c>
      <c r="K70" s="8">
        <v>371.29</v>
      </c>
      <c r="L70" s="8">
        <v>369.71</v>
      </c>
      <c r="M70" s="8">
        <f t="shared" si="5"/>
        <v>662752.65</v>
      </c>
      <c r="N70" s="8">
        <f t="shared" si="5"/>
        <v>659932.35</v>
      </c>
      <c r="O70" s="8">
        <f t="shared" si="6"/>
        <v>2820.3000000000466</v>
      </c>
      <c r="P70" s="7">
        <f t="shared" si="7"/>
        <v>5</v>
      </c>
      <c r="Q70" s="9" t="str">
        <f t="shared" si="8"/>
        <v>No Prazo</v>
      </c>
      <c r="R70" s="10" t="str">
        <f t="shared" si="9"/>
        <v>Completo</v>
      </c>
    </row>
    <row r="71" spans="1:18" x14ac:dyDescent="0.3">
      <c r="A71" s="4" t="s">
        <v>140</v>
      </c>
      <c r="B71" s="5">
        <v>44655</v>
      </c>
      <c r="C71" s="5">
        <v>44662</v>
      </c>
      <c r="D71" s="5">
        <v>44658</v>
      </c>
      <c r="E71" s="6" t="s">
        <v>66</v>
      </c>
      <c r="F71" s="6" t="s">
        <v>141</v>
      </c>
      <c r="G71" s="6" t="s">
        <v>26</v>
      </c>
      <c r="H71" s="6" t="s">
        <v>31</v>
      </c>
      <c r="I71" s="7">
        <v>1110</v>
      </c>
      <c r="J71" s="7">
        <v>1110</v>
      </c>
      <c r="K71" s="8">
        <v>247.19</v>
      </c>
      <c r="L71" s="8">
        <v>227.44</v>
      </c>
      <c r="M71" s="8">
        <f t="shared" si="5"/>
        <v>274380.90000000002</v>
      </c>
      <c r="N71" s="8">
        <f t="shared" si="5"/>
        <v>252458.4</v>
      </c>
      <c r="O71" s="8">
        <f t="shared" si="6"/>
        <v>21922.500000000029</v>
      </c>
      <c r="P71" s="7">
        <f t="shared" si="7"/>
        <v>3</v>
      </c>
      <c r="Q71" s="9" t="str">
        <f t="shared" si="8"/>
        <v>No Prazo</v>
      </c>
      <c r="R71" s="10" t="str">
        <f t="shared" si="9"/>
        <v>Completo</v>
      </c>
    </row>
    <row r="72" spans="1:18" x14ac:dyDescent="0.3">
      <c r="A72" s="4" t="s">
        <v>142</v>
      </c>
      <c r="B72" s="5">
        <v>44661</v>
      </c>
      <c r="C72" s="5">
        <v>44675</v>
      </c>
      <c r="D72" s="5">
        <v>44674</v>
      </c>
      <c r="E72" s="6" t="s">
        <v>24</v>
      </c>
      <c r="F72" s="6" t="s">
        <v>98</v>
      </c>
      <c r="G72" s="6" t="s">
        <v>26</v>
      </c>
      <c r="H72" s="6" t="s">
        <v>22</v>
      </c>
      <c r="I72" s="7">
        <v>230</v>
      </c>
      <c r="J72" s="7">
        <v>230</v>
      </c>
      <c r="K72" s="8">
        <v>383.05</v>
      </c>
      <c r="L72" s="8">
        <v>375.83</v>
      </c>
      <c r="M72" s="8">
        <f t="shared" si="5"/>
        <v>88101.5</v>
      </c>
      <c r="N72" s="8">
        <f t="shared" si="5"/>
        <v>86440.9</v>
      </c>
      <c r="O72" s="8">
        <f t="shared" si="6"/>
        <v>1660.6000000000058</v>
      </c>
      <c r="P72" s="7">
        <f t="shared" si="7"/>
        <v>13</v>
      </c>
      <c r="Q72" s="9" t="str">
        <f t="shared" si="8"/>
        <v>No Prazo</v>
      </c>
      <c r="R72" s="10" t="str">
        <f t="shared" si="9"/>
        <v>Completo</v>
      </c>
    </row>
    <row r="73" spans="1:18" x14ac:dyDescent="0.3">
      <c r="A73" s="4" t="s">
        <v>143</v>
      </c>
      <c r="B73" s="5">
        <v>44670</v>
      </c>
      <c r="C73" s="5">
        <v>44685</v>
      </c>
      <c r="D73" s="5">
        <v>44684</v>
      </c>
      <c r="E73" s="6" t="s">
        <v>66</v>
      </c>
      <c r="F73" s="6" t="s">
        <v>71</v>
      </c>
      <c r="G73" s="6" t="s">
        <v>26</v>
      </c>
      <c r="H73" s="6" t="s">
        <v>39</v>
      </c>
      <c r="I73" s="7">
        <v>735</v>
      </c>
      <c r="J73" s="7">
        <v>735</v>
      </c>
      <c r="K73" s="8">
        <v>439.39</v>
      </c>
      <c r="L73" s="8">
        <v>429.03</v>
      </c>
      <c r="M73" s="8">
        <f t="shared" si="5"/>
        <v>322951.64999999997</v>
      </c>
      <c r="N73" s="8">
        <f t="shared" si="5"/>
        <v>315337.05</v>
      </c>
      <c r="O73" s="8">
        <f t="shared" si="6"/>
        <v>7614.5999999999767</v>
      </c>
      <c r="P73" s="7">
        <f t="shared" si="7"/>
        <v>14</v>
      </c>
      <c r="Q73" s="9" t="str">
        <f t="shared" si="8"/>
        <v>No Prazo</v>
      </c>
      <c r="R73" s="10" t="str">
        <f t="shared" si="9"/>
        <v>Completo</v>
      </c>
    </row>
    <row r="74" spans="1:18" x14ac:dyDescent="0.3">
      <c r="A74" s="4" t="s">
        <v>144</v>
      </c>
      <c r="B74" s="5">
        <v>44680</v>
      </c>
      <c r="C74" s="5">
        <v>44699</v>
      </c>
      <c r="D74" s="5">
        <v>44697</v>
      </c>
      <c r="E74" s="6" t="s">
        <v>44</v>
      </c>
      <c r="F74" s="6" t="s">
        <v>45</v>
      </c>
      <c r="G74" s="6" t="s">
        <v>26</v>
      </c>
      <c r="H74" s="6" t="s">
        <v>35</v>
      </c>
      <c r="I74" s="7">
        <v>2360</v>
      </c>
      <c r="J74" s="7">
        <v>2360</v>
      </c>
      <c r="K74" s="8">
        <v>184.47</v>
      </c>
      <c r="L74" s="8">
        <v>192.04</v>
      </c>
      <c r="M74" s="8">
        <f t="shared" si="5"/>
        <v>435349.2</v>
      </c>
      <c r="N74" s="8">
        <f t="shared" si="5"/>
        <v>453214.39999999997</v>
      </c>
      <c r="O74" s="8">
        <f t="shared" si="6"/>
        <v>-17865.199999999953</v>
      </c>
      <c r="P74" s="7">
        <f t="shared" si="7"/>
        <v>17</v>
      </c>
      <c r="Q74" s="9" t="str">
        <f t="shared" si="8"/>
        <v>No Prazo</v>
      </c>
      <c r="R74" s="10" t="str">
        <f t="shared" si="9"/>
        <v>Completo</v>
      </c>
    </row>
    <row r="75" spans="1:18" x14ac:dyDescent="0.3">
      <c r="A75" s="4" t="s">
        <v>145</v>
      </c>
      <c r="B75" s="5">
        <v>44686</v>
      </c>
      <c r="C75" s="5">
        <v>44696</v>
      </c>
      <c r="D75" s="5">
        <v>44695</v>
      </c>
      <c r="E75" s="6" t="s">
        <v>29</v>
      </c>
      <c r="F75" s="6" t="s">
        <v>92</v>
      </c>
      <c r="G75" s="6" t="s">
        <v>51</v>
      </c>
      <c r="H75" s="6" t="s">
        <v>42</v>
      </c>
      <c r="I75" s="7">
        <v>1105</v>
      </c>
      <c r="J75" s="7">
        <v>1105</v>
      </c>
      <c r="K75" s="8">
        <v>41</v>
      </c>
      <c r="L75" s="8">
        <v>42.69</v>
      </c>
      <c r="M75" s="8">
        <f t="shared" si="5"/>
        <v>45305</v>
      </c>
      <c r="N75" s="8">
        <f t="shared" si="5"/>
        <v>47172.45</v>
      </c>
      <c r="O75" s="8">
        <f t="shared" si="6"/>
        <v>-1867.4499999999971</v>
      </c>
      <c r="P75" s="7">
        <f t="shared" si="7"/>
        <v>9</v>
      </c>
      <c r="Q75" s="9" t="str">
        <f t="shared" si="8"/>
        <v>No Prazo</v>
      </c>
      <c r="R75" s="10" t="str">
        <f t="shared" si="9"/>
        <v>Completo</v>
      </c>
    </row>
    <row r="76" spans="1:18" x14ac:dyDescent="0.3">
      <c r="A76" s="4" t="s">
        <v>146</v>
      </c>
      <c r="B76" s="5">
        <v>44687</v>
      </c>
      <c r="C76" s="5">
        <v>44707</v>
      </c>
      <c r="D76" s="5">
        <v>44703</v>
      </c>
      <c r="E76" s="6" t="s">
        <v>29</v>
      </c>
      <c r="F76" s="6" t="s">
        <v>113</v>
      </c>
      <c r="G76" s="6" t="s">
        <v>34</v>
      </c>
      <c r="H76" s="6" t="s">
        <v>42</v>
      </c>
      <c r="I76" s="7">
        <v>1120</v>
      </c>
      <c r="J76" s="7">
        <v>1120</v>
      </c>
      <c r="K76" s="8">
        <v>303.66000000000003</v>
      </c>
      <c r="L76" s="8">
        <v>270.45999999999998</v>
      </c>
      <c r="M76" s="8">
        <f t="shared" si="5"/>
        <v>340099.2</v>
      </c>
      <c r="N76" s="8">
        <f t="shared" si="5"/>
        <v>302915.19999999995</v>
      </c>
      <c r="O76" s="8">
        <f t="shared" si="6"/>
        <v>37184.000000000058</v>
      </c>
      <c r="P76" s="7">
        <f t="shared" si="7"/>
        <v>16</v>
      </c>
      <c r="Q76" s="9" t="str">
        <f t="shared" si="8"/>
        <v>No Prazo</v>
      </c>
      <c r="R76" s="10" t="str">
        <f t="shared" si="9"/>
        <v>Completo</v>
      </c>
    </row>
    <row r="77" spans="1:18" x14ac:dyDescent="0.3">
      <c r="A77" s="4" t="s">
        <v>147</v>
      </c>
      <c r="B77" s="5">
        <v>44688</v>
      </c>
      <c r="C77" s="5">
        <v>44695</v>
      </c>
      <c r="D77" s="5">
        <v>44693</v>
      </c>
      <c r="E77" s="6" t="s">
        <v>44</v>
      </c>
      <c r="F77" s="6" t="s">
        <v>127</v>
      </c>
      <c r="G77" s="6" t="s">
        <v>34</v>
      </c>
      <c r="H77" s="6" t="s">
        <v>22</v>
      </c>
      <c r="I77" s="7">
        <v>725</v>
      </c>
      <c r="J77" s="7">
        <v>725</v>
      </c>
      <c r="K77" s="8">
        <v>359.25</v>
      </c>
      <c r="L77" s="8">
        <v>348.27</v>
      </c>
      <c r="M77" s="8">
        <f t="shared" si="5"/>
        <v>260456.25</v>
      </c>
      <c r="N77" s="8">
        <f t="shared" si="5"/>
        <v>252495.75</v>
      </c>
      <c r="O77" s="8">
        <f t="shared" si="6"/>
        <v>7960.5</v>
      </c>
      <c r="P77" s="7">
        <f t="shared" si="7"/>
        <v>5</v>
      </c>
      <c r="Q77" s="9" t="str">
        <f t="shared" si="8"/>
        <v>No Prazo</v>
      </c>
      <c r="R77" s="10" t="str">
        <f t="shared" si="9"/>
        <v>Completo</v>
      </c>
    </row>
    <row r="78" spans="1:18" x14ac:dyDescent="0.3">
      <c r="A78" s="4" t="s">
        <v>148</v>
      </c>
      <c r="B78" s="5">
        <v>44691</v>
      </c>
      <c r="C78" s="5">
        <v>44699</v>
      </c>
      <c r="D78" s="5">
        <v>44695</v>
      </c>
      <c r="E78" s="6" t="s">
        <v>24</v>
      </c>
      <c r="F78" s="6" t="s">
        <v>98</v>
      </c>
      <c r="G78" s="6" t="s">
        <v>26</v>
      </c>
      <c r="H78" s="6" t="s">
        <v>59</v>
      </c>
      <c r="I78" s="7">
        <v>85</v>
      </c>
      <c r="J78" s="7">
        <v>85</v>
      </c>
      <c r="K78" s="8">
        <v>56.08</v>
      </c>
      <c r="L78" s="8">
        <v>58.81</v>
      </c>
      <c r="M78" s="8">
        <f t="shared" si="5"/>
        <v>4766.8</v>
      </c>
      <c r="N78" s="8">
        <f t="shared" si="5"/>
        <v>4998.8500000000004</v>
      </c>
      <c r="O78" s="8">
        <f t="shared" si="6"/>
        <v>-232.05000000000018</v>
      </c>
      <c r="P78" s="7">
        <f t="shared" si="7"/>
        <v>4</v>
      </c>
      <c r="Q78" s="9" t="str">
        <f t="shared" si="8"/>
        <v>No Prazo</v>
      </c>
      <c r="R78" s="10" t="str">
        <f t="shared" si="9"/>
        <v>Completo</v>
      </c>
    </row>
    <row r="79" spans="1:18" x14ac:dyDescent="0.3">
      <c r="A79" s="4" t="s">
        <v>149</v>
      </c>
      <c r="B79" s="5">
        <v>44692</v>
      </c>
      <c r="C79" s="5">
        <v>44698</v>
      </c>
      <c r="D79" s="5">
        <v>44696</v>
      </c>
      <c r="E79" s="6" t="s">
        <v>55</v>
      </c>
      <c r="F79" s="6" t="s">
        <v>150</v>
      </c>
      <c r="G79" s="6" t="s">
        <v>34</v>
      </c>
      <c r="H79" s="6" t="s">
        <v>22</v>
      </c>
      <c r="I79" s="7">
        <v>55</v>
      </c>
      <c r="J79" s="7">
        <v>55</v>
      </c>
      <c r="K79" s="8">
        <v>334.78</v>
      </c>
      <c r="L79" s="8">
        <v>321.35000000000002</v>
      </c>
      <c r="M79" s="8">
        <f t="shared" si="5"/>
        <v>18412.899999999998</v>
      </c>
      <c r="N79" s="8">
        <f t="shared" si="5"/>
        <v>17674.25</v>
      </c>
      <c r="O79" s="8">
        <f t="shared" si="6"/>
        <v>738.64999999999782</v>
      </c>
      <c r="P79" s="7">
        <f t="shared" si="7"/>
        <v>4</v>
      </c>
      <c r="Q79" s="9" t="str">
        <f t="shared" si="8"/>
        <v>No Prazo</v>
      </c>
      <c r="R79" s="10" t="str">
        <f t="shared" si="9"/>
        <v>Completo</v>
      </c>
    </row>
    <row r="80" spans="1:18" x14ac:dyDescent="0.3">
      <c r="A80" s="4" t="s">
        <v>151</v>
      </c>
      <c r="B80" s="5">
        <v>44693</v>
      </c>
      <c r="C80" s="5">
        <v>44705</v>
      </c>
      <c r="D80" s="5">
        <v>44704</v>
      </c>
      <c r="E80" s="6" t="s">
        <v>55</v>
      </c>
      <c r="F80" s="6" t="s">
        <v>135</v>
      </c>
      <c r="G80" s="6" t="s">
        <v>34</v>
      </c>
      <c r="H80" s="6" t="s">
        <v>88</v>
      </c>
      <c r="I80" s="7">
        <v>135</v>
      </c>
      <c r="J80" s="7">
        <v>135</v>
      </c>
      <c r="K80" s="8">
        <v>326.67</v>
      </c>
      <c r="L80" s="8">
        <v>335.91</v>
      </c>
      <c r="M80" s="8">
        <f t="shared" si="5"/>
        <v>44100.450000000004</v>
      </c>
      <c r="N80" s="8">
        <f t="shared" si="5"/>
        <v>45347.850000000006</v>
      </c>
      <c r="O80" s="8">
        <f t="shared" si="6"/>
        <v>-1247.4000000000015</v>
      </c>
      <c r="P80" s="7">
        <f t="shared" si="7"/>
        <v>11</v>
      </c>
      <c r="Q80" s="9" t="str">
        <f t="shared" si="8"/>
        <v>No Prazo</v>
      </c>
      <c r="R80" s="10" t="str">
        <f t="shared" si="9"/>
        <v>Completo</v>
      </c>
    </row>
    <row r="81" spans="1:18" x14ac:dyDescent="0.3">
      <c r="A81" s="4" t="s">
        <v>152</v>
      </c>
      <c r="B81" s="5">
        <v>44699</v>
      </c>
      <c r="C81" s="5">
        <v>44711</v>
      </c>
      <c r="D81" s="5">
        <v>44708</v>
      </c>
      <c r="E81" s="6" t="s">
        <v>55</v>
      </c>
      <c r="F81" s="6" t="s">
        <v>150</v>
      </c>
      <c r="G81" s="6" t="s">
        <v>21</v>
      </c>
      <c r="H81" s="6" t="s">
        <v>81</v>
      </c>
      <c r="I81" s="7">
        <v>2170</v>
      </c>
      <c r="J81" s="7">
        <v>2170</v>
      </c>
      <c r="K81" s="8">
        <v>109.35</v>
      </c>
      <c r="L81" s="8">
        <v>100.24</v>
      </c>
      <c r="M81" s="8">
        <f t="shared" si="5"/>
        <v>237289.5</v>
      </c>
      <c r="N81" s="8">
        <f t="shared" si="5"/>
        <v>217520.8</v>
      </c>
      <c r="O81" s="8">
        <f t="shared" si="6"/>
        <v>19768.700000000012</v>
      </c>
      <c r="P81" s="7">
        <f t="shared" si="7"/>
        <v>9</v>
      </c>
      <c r="Q81" s="9" t="str">
        <f t="shared" si="8"/>
        <v>No Prazo</v>
      </c>
      <c r="R81" s="10" t="str">
        <f t="shared" si="9"/>
        <v>Completo</v>
      </c>
    </row>
    <row r="82" spans="1:18" x14ac:dyDescent="0.3">
      <c r="A82" s="4" t="s">
        <v>153</v>
      </c>
      <c r="B82" s="5">
        <v>44705</v>
      </c>
      <c r="C82" s="5">
        <v>44725</v>
      </c>
      <c r="D82" s="5">
        <v>44723</v>
      </c>
      <c r="E82" s="6" t="s">
        <v>29</v>
      </c>
      <c r="F82" s="6" t="s">
        <v>33</v>
      </c>
      <c r="G82" s="6" t="s">
        <v>26</v>
      </c>
      <c r="H82" s="6" t="s">
        <v>42</v>
      </c>
      <c r="I82" s="7">
        <v>2460</v>
      </c>
      <c r="J82" s="7">
        <v>1559</v>
      </c>
      <c r="K82" s="8">
        <v>147.61000000000001</v>
      </c>
      <c r="L82" s="8">
        <v>135.1</v>
      </c>
      <c r="M82" s="8">
        <f t="shared" si="5"/>
        <v>363120.60000000003</v>
      </c>
      <c r="N82" s="8">
        <f t="shared" si="5"/>
        <v>210620.9</v>
      </c>
      <c r="O82" s="8">
        <f t="shared" si="6"/>
        <v>152499.70000000004</v>
      </c>
      <c r="P82" s="7">
        <f t="shared" si="7"/>
        <v>18</v>
      </c>
      <c r="Q82" s="9" t="str">
        <f t="shared" si="8"/>
        <v>No Prazo</v>
      </c>
      <c r="R82" s="10" t="str">
        <f t="shared" si="9"/>
        <v>Incompleto</v>
      </c>
    </row>
    <row r="83" spans="1:18" x14ac:dyDescent="0.3">
      <c r="A83" s="4" t="s">
        <v>154</v>
      </c>
      <c r="B83" s="5">
        <v>44707</v>
      </c>
      <c r="C83" s="5">
        <v>44725</v>
      </c>
      <c r="D83" s="5">
        <v>44721</v>
      </c>
      <c r="E83" s="6" t="s">
        <v>19</v>
      </c>
      <c r="F83" s="6" t="s">
        <v>47</v>
      </c>
      <c r="G83" s="6" t="s">
        <v>21</v>
      </c>
      <c r="H83" s="6" t="s">
        <v>53</v>
      </c>
      <c r="I83" s="7">
        <v>530</v>
      </c>
      <c r="J83" s="7">
        <v>437</v>
      </c>
      <c r="K83" s="8">
        <v>65.25</v>
      </c>
      <c r="L83" s="8">
        <v>66.400000000000006</v>
      </c>
      <c r="M83" s="8">
        <f t="shared" si="5"/>
        <v>34582.5</v>
      </c>
      <c r="N83" s="8">
        <f t="shared" si="5"/>
        <v>29016.800000000003</v>
      </c>
      <c r="O83" s="8">
        <f t="shared" si="6"/>
        <v>5565.6999999999971</v>
      </c>
      <c r="P83" s="7">
        <f t="shared" si="7"/>
        <v>14</v>
      </c>
      <c r="Q83" s="9" t="str">
        <f t="shared" si="8"/>
        <v>No Prazo</v>
      </c>
      <c r="R83" s="10" t="str">
        <f t="shared" si="9"/>
        <v>Incompleto</v>
      </c>
    </row>
    <row r="84" spans="1:18" x14ac:dyDescent="0.3">
      <c r="A84" s="4" t="s">
        <v>155</v>
      </c>
      <c r="B84" s="5">
        <v>44713</v>
      </c>
      <c r="C84" s="5">
        <v>44726</v>
      </c>
      <c r="D84" s="5">
        <v>44723</v>
      </c>
      <c r="E84" s="6" t="s">
        <v>37</v>
      </c>
      <c r="F84" s="6" t="s">
        <v>156</v>
      </c>
      <c r="G84" s="6" t="s">
        <v>21</v>
      </c>
      <c r="H84" s="6" t="s">
        <v>27</v>
      </c>
      <c r="I84" s="7">
        <v>2190</v>
      </c>
      <c r="J84" s="7">
        <v>2190</v>
      </c>
      <c r="K84" s="8">
        <v>286.98</v>
      </c>
      <c r="L84" s="8">
        <v>253.55</v>
      </c>
      <c r="M84" s="8">
        <f t="shared" si="5"/>
        <v>628486.20000000007</v>
      </c>
      <c r="N84" s="8">
        <f t="shared" si="5"/>
        <v>555274.5</v>
      </c>
      <c r="O84" s="8">
        <f t="shared" si="6"/>
        <v>73211.70000000007</v>
      </c>
      <c r="P84" s="7">
        <f t="shared" si="7"/>
        <v>10</v>
      </c>
      <c r="Q84" s="9" t="str">
        <f t="shared" si="8"/>
        <v>No Prazo</v>
      </c>
      <c r="R84" s="10" t="str">
        <f t="shared" si="9"/>
        <v>Completo</v>
      </c>
    </row>
    <row r="85" spans="1:18" x14ac:dyDescent="0.3">
      <c r="A85" s="4" t="s">
        <v>157</v>
      </c>
      <c r="B85" s="5">
        <v>44716</v>
      </c>
      <c r="C85" s="5">
        <v>44733</v>
      </c>
      <c r="D85" s="5">
        <v>44733</v>
      </c>
      <c r="E85" s="6" t="s">
        <v>55</v>
      </c>
      <c r="F85" s="6" t="s">
        <v>75</v>
      </c>
      <c r="G85" s="6" t="s">
        <v>51</v>
      </c>
      <c r="H85" s="6" t="s">
        <v>88</v>
      </c>
      <c r="I85" s="7">
        <v>550</v>
      </c>
      <c r="J85" s="7">
        <v>550</v>
      </c>
      <c r="K85" s="8">
        <v>75.84</v>
      </c>
      <c r="L85" s="8">
        <v>66.83</v>
      </c>
      <c r="M85" s="8">
        <f t="shared" si="5"/>
        <v>41712</v>
      </c>
      <c r="N85" s="8">
        <f t="shared" si="5"/>
        <v>36756.5</v>
      </c>
      <c r="O85" s="8">
        <f t="shared" si="6"/>
        <v>4955.5</v>
      </c>
      <c r="P85" s="7">
        <f t="shared" si="7"/>
        <v>17</v>
      </c>
      <c r="Q85" s="9" t="str">
        <f t="shared" si="8"/>
        <v>No Prazo</v>
      </c>
      <c r="R85" s="10" t="str">
        <f t="shared" si="9"/>
        <v>Completo</v>
      </c>
    </row>
    <row r="86" spans="1:18" x14ac:dyDescent="0.3">
      <c r="A86" s="4" t="s">
        <v>158</v>
      </c>
      <c r="B86" s="5">
        <v>44717</v>
      </c>
      <c r="C86" s="5">
        <v>44728</v>
      </c>
      <c r="D86" s="5">
        <v>44728</v>
      </c>
      <c r="E86" s="6" t="s">
        <v>29</v>
      </c>
      <c r="F86" s="6" t="s">
        <v>113</v>
      </c>
      <c r="G86" s="6" t="s">
        <v>64</v>
      </c>
      <c r="H86" s="6" t="s">
        <v>59</v>
      </c>
      <c r="I86" s="7">
        <v>2160</v>
      </c>
      <c r="J86" s="7">
        <v>1719</v>
      </c>
      <c r="K86" s="8">
        <v>266.16000000000003</v>
      </c>
      <c r="L86" s="8">
        <v>252.92</v>
      </c>
      <c r="M86" s="8">
        <f t="shared" si="5"/>
        <v>574905.60000000009</v>
      </c>
      <c r="N86" s="8">
        <f t="shared" si="5"/>
        <v>434769.48</v>
      </c>
      <c r="O86" s="8">
        <f t="shared" si="6"/>
        <v>140136.12000000011</v>
      </c>
      <c r="P86" s="7">
        <f t="shared" si="7"/>
        <v>11</v>
      </c>
      <c r="Q86" s="9" t="str">
        <f t="shared" si="8"/>
        <v>No Prazo</v>
      </c>
      <c r="R86" s="10" t="str">
        <f t="shared" si="9"/>
        <v>Incompleto</v>
      </c>
    </row>
    <row r="87" spans="1:18" x14ac:dyDescent="0.3">
      <c r="A87" s="4" t="s">
        <v>159</v>
      </c>
      <c r="B87" s="5">
        <v>44735</v>
      </c>
      <c r="C87" s="5">
        <v>44753</v>
      </c>
      <c r="D87" s="5">
        <v>44753</v>
      </c>
      <c r="E87" s="6" t="s">
        <v>55</v>
      </c>
      <c r="F87" s="6" t="s">
        <v>150</v>
      </c>
      <c r="G87" s="6" t="s">
        <v>26</v>
      </c>
      <c r="H87" s="6" t="s">
        <v>31</v>
      </c>
      <c r="I87" s="7">
        <v>325</v>
      </c>
      <c r="J87" s="7">
        <v>325</v>
      </c>
      <c r="K87" s="8">
        <v>174.11</v>
      </c>
      <c r="L87" s="8">
        <v>176.49</v>
      </c>
      <c r="M87" s="8">
        <f t="shared" si="5"/>
        <v>56585.750000000007</v>
      </c>
      <c r="N87" s="8">
        <f t="shared" si="5"/>
        <v>57359.25</v>
      </c>
      <c r="O87" s="8">
        <f t="shared" si="6"/>
        <v>-773.49999999999272</v>
      </c>
      <c r="P87" s="7">
        <f t="shared" si="7"/>
        <v>18</v>
      </c>
      <c r="Q87" s="9" t="str">
        <f t="shared" si="8"/>
        <v>No Prazo</v>
      </c>
      <c r="R87" s="10" t="str">
        <f t="shared" si="9"/>
        <v>Completo</v>
      </c>
    </row>
    <row r="88" spans="1:18" x14ac:dyDescent="0.3">
      <c r="A88" s="4" t="s">
        <v>160</v>
      </c>
      <c r="B88" s="5">
        <v>44744</v>
      </c>
      <c r="C88" s="5">
        <v>44753</v>
      </c>
      <c r="D88" s="5">
        <v>44750</v>
      </c>
      <c r="E88" s="6" t="s">
        <v>66</v>
      </c>
      <c r="F88" s="6" t="s">
        <v>141</v>
      </c>
      <c r="G88" s="6" t="s">
        <v>26</v>
      </c>
      <c r="H88" s="6" t="s">
        <v>39</v>
      </c>
      <c r="I88" s="7">
        <v>1830</v>
      </c>
      <c r="J88" s="7">
        <v>1734</v>
      </c>
      <c r="K88" s="8">
        <v>272.32</v>
      </c>
      <c r="L88" s="8">
        <v>272.89999999999998</v>
      </c>
      <c r="M88" s="8">
        <f t="shared" si="5"/>
        <v>498345.6</v>
      </c>
      <c r="N88" s="8">
        <f t="shared" si="5"/>
        <v>473208.6</v>
      </c>
      <c r="O88" s="8">
        <f t="shared" si="6"/>
        <v>25137</v>
      </c>
      <c r="P88" s="7">
        <f t="shared" si="7"/>
        <v>6</v>
      </c>
      <c r="Q88" s="9" t="str">
        <f t="shared" si="8"/>
        <v>No Prazo</v>
      </c>
      <c r="R88" s="10" t="str">
        <f t="shared" si="9"/>
        <v>Incompleto</v>
      </c>
    </row>
    <row r="89" spans="1:18" x14ac:dyDescent="0.3">
      <c r="A89" s="4" t="s">
        <v>161</v>
      </c>
      <c r="B89" s="5">
        <v>44748</v>
      </c>
      <c r="C89" s="5">
        <v>44757</v>
      </c>
      <c r="D89" s="5">
        <v>44756</v>
      </c>
      <c r="E89" s="6" t="s">
        <v>66</v>
      </c>
      <c r="F89" s="6" t="s">
        <v>71</v>
      </c>
      <c r="G89" s="6" t="s">
        <v>26</v>
      </c>
      <c r="H89" s="6" t="s">
        <v>48</v>
      </c>
      <c r="I89" s="7">
        <v>810</v>
      </c>
      <c r="J89" s="7">
        <v>810</v>
      </c>
      <c r="K89" s="8">
        <v>283.61</v>
      </c>
      <c r="L89" s="8">
        <v>281.39</v>
      </c>
      <c r="M89" s="8">
        <f t="shared" si="5"/>
        <v>229724.1</v>
      </c>
      <c r="N89" s="8">
        <f t="shared" si="5"/>
        <v>227925.9</v>
      </c>
      <c r="O89" s="8">
        <f t="shared" si="6"/>
        <v>1798.2000000000116</v>
      </c>
      <c r="P89" s="7">
        <f t="shared" si="7"/>
        <v>8</v>
      </c>
      <c r="Q89" s="9" t="str">
        <f t="shared" si="8"/>
        <v>No Prazo</v>
      </c>
      <c r="R89" s="10" t="str">
        <f t="shared" si="9"/>
        <v>Completo</v>
      </c>
    </row>
    <row r="90" spans="1:18" x14ac:dyDescent="0.3">
      <c r="A90" s="4" t="s">
        <v>162</v>
      </c>
      <c r="B90" s="5">
        <v>44750</v>
      </c>
      <c r="C90" s="5">
        <v>44767</v>
      </c>
      <c r="D90" s="5">
        <v>44766</v>
      </c>
      <c r="E90" s="6" t="s">
        <v>29</v>
      </c>
      <c r="F90" s="6" t="s">
        <v>92</v>
      </c>
      <c r="G90" s="6" t="s">
        <v>34</v>
      </c>
      <c r="H90" s="6" t="s">
        <v>53</v>
      </c>
      <c r="I90" s="7">
        <v>2305</v>
      </c>
      <c r="J90" s="7">
        <v>2305</v>
      </c>
      <c r="K90" s="8">
        <v>363.35</v>
      </c>
      <c r="L90" s="8">
        <v>354.95</v>
      </c>
      <c r="M90" s="8">
        <f t="shared" si="5"/>
        <v>837521.75</v>
      </c>
      <c r="N90" s="8">
        <f t="shared" si="5"/>
        <v>818159.75</v>
      </c>
      <c r="O90" s="8">
        <f t="shared" si="6"/>
        <v>19362</v>
      </c>
      <c r="P90" s="7">
        <f t="shared" si="7"/>
        <v>16</v>
      </c>
      <c r="Q90" s="9" t="str">
        <f t="shared" si="8"/>
        <v>No Prazo</v>
      </c>
      <c r="R90" s="10" t="str">
        <f t="shared" si="9"/>
        <v>Completo</v>
      </c>
    </row>
    <row r="91" spans="1:18" x14ac:dyDescent="0.3">
      <c r="A91" s="4" t="s">
        <v>163</v>
      </c>
      <c r="B91" s="5">
        <v>44759</v>
      </c>
      <c r="C91" s="5">
        <v>44774</v>
      </c>
      <c r="D91" s="5">
        <v>44774</v>
      </c>
      <c r="E91" s="6" t="s">
        <v>55</v>
      </c>
      <c r="F91" s="6" t="s">
        <v>135</v>
      </c>
      <c r="G91" s="6" t="s">
        <v>26</v>
      </c>
      <c r="H91" s="6" t="s">
        <v>22</v>
      </c>
      <c r="I91" s="7">
        <v>1920</v>
      </c>
      <c r="J91" s="7">
        <v>1920</v>
      </c>
      <c r="K91" s="8">
        <v>132.77000000000001</v>
      </c>
      <c r="L91" s="8">
        <v>121.04</v>
      </c>
      <c r="M91" s="8">
        <f t="shared" si="5"/>
        <v>254918.40000000002</v>
      </c>
      <c r="N91" s="8">
        <f t="shared" si="5"/>
        <v>232396.80000000002</v>
      </c>
      <c r="O91" s="8">
        <f t="shared" si="6"/>
        <v>22521.600000000006</v>
      </c>
      <c r="P91" s="7">
        <f t="shared" si="7"/>
        <v>15</v>
      </c>
      <c r="Q91" s="9" t="str">
        <f t="shared" si="8"/>
        <v>No Prazo</v>
      </c>
      <c r="R91" s="10" t="str">
        <f t="shared" si="9"/>
        <v>Completo</v>
      </c>
    </row>
    <row r="92" spans="1:18" x14ac:dyDescent="0.3">
      <c r="A92" s="4" t="s">
        <v>164</v>
      </c>
      <c r="B92" s="5">
        <v>44763</v>
      </c>
      <c r="C92" s="5">
        <v>44775</v>
      </c>
      <c r="D92" s="5">
        <v>44773</v>
      </c>
      <c r="E92" s="6" t="s">
        <v>37</v>
      </c>
      <c r="F92" s="6" t="s">
        <v>96</v>
      </c>
      <c r="G92" s="6" t="s">
        <v>34</v>
      </c>
      <c r="H92" s="6" t="s">
        <v>88</v>
      </c>
      <c r="I92" s="7">
        <v>1955</v>
      </c>
      <c r="J92" s="7">
        <v>1955</v>
      </c>
      <c r="K92" s="8">
        <v>435.19</v>
      </c>
      <c r="L92" s="8">
        <v>404.14</v>
      </c>
      <c r="M92" s="8">
        <f t="shared" si="5"/>
        <v>850796.45</v>
      </c>
      <c r="N92" s="8">
        <f t="shared" si="5"/>
        <v>790093.7</v>
      </c>
      <c r="O92" s="8">
        <f t="shared" si="6"/>
        <v>60702.75</v>
      </c>
      <c r="P92" s="7">
        <f t="shared" si="7"/>
        <v>10</v>
      </c>
      <c r="Q92" s="9" t="str">
        <f t="shared" si="8"/>
        <v>No Prazo</v>
      </c>
      <c r="R92" s="10" t="str">
        <f t="shared" si="9"/>
        <v>Completo</v>
      </c>
    </row>
    <row r="93" spans="1:18" x14ac:dyDescent="0.3">
      <c r="A93" s="4" t="s">
        <v>165</v>
      </c>
      <c r="B93" s="5">
        <v>44767</v>
      </c>
      <c r="C93" s="5">
        <v>44772</v>
      </c>
      <c r="D93" s="5">
        <v>44769</v>
      </c>
      <c r="E93" s="6" t="s">
        <v>37</v>
      </c>
      <c r="F93" s="6" t="s">
        <v>156</v>
      </c>
      <c r="G93" s="6" t="s">
        <v>26</v>
      </c>
      <c r="H93" s="6" t="s">
        <v>22</v>
      </c>
      <c r="I93" s="7">
        <v>1680</v>
      </c>
      <c r="J93" s="7">
        <v>962</v>
      </c>
      <c r="K93" s="8">
        <v>219.06</v>
      </c>
      <c r="L93" s="8">
        <v>219.05</v>
      </c>
      <c r="M93" s="8">
        <f t="shared" si="5"/>
        <v>368020.8</v>
      </c>
      <c r="N93" s="8">
        <f t="shared" si="5"/>
        <v>210726.1</v>
      </c>
      <c r="O93" s="8">
        <f t="shared" si="6"/>
        <v>157294.69999999998</v>
      </c>
      <c r="P93" s="7">
        <f t="shared" si="7"/>
        <v>2</v>
      </c>
      <c r="Q93" s="9" t="str">
        <f t="shared" si="8"/>
        <v>No Prazo</v>
      </c>
      <c r="R93" s="10" t="str">
        <f t="shared" si="9"/>
        <v>Incompleto</v>
      </c>
    </row>
    <row r="94" spans="1:18" x14ac:dyDescent="0.3">
      <c r="A94" s="4" t="s">
        <v>166</v>
      </c>
      <c r="B94" s="5">
        <v>44767</v>
      </c>
      <c r="C94" s="5">
        <v>44781</v>
      </c>
      <c r="D94" s="5">
        <v>44781</v>
      </c>
      <c r="E94" s="6" t="s">
        <v>24</v>
      </c>
      <c r="F94" s="6" t="s">
        <v>25</v>
      </c>
      <c r="G94" s="6" t="s">
        <v>51</v>
      </c>
      <c r="H94" s="6" t="s">
        <v>88</v>
      </c>
      <c r="I94" s="7">
        <v>770</v>
      </c>
      <c r="J94" s="7">
        <v>673</v>
      </c>
      <c r="K94" s="8">
        <v>151</v>
      </c>
      <c r="L94" s="8">
        <v>142.13999999999999</v>
      </c>
      <c r="M94" s="8">
        <f t="shared" si="5"/>
        <v>116270</v>
      </c>
      <c r="N94" s="8">
        <f t="shared" si="5"/>
        <v>95660.219999999987</v>
      </c>
      <c r="O94" s="8">
        <f t="shared" si="6"/>
        <v>20609.780000000013</v>
      </c>
      <c r="P94" s="7">
        <f t="shared" si="7"/>
        <v>14</v>
      </c>
      <c r="Q94" s="9" t="str">
        <f t="shared" si="8"/>
        <v>No Prazo</v>
      </c>
      <c r="R94" s="10" t="str">
        <f t="shared" si="9"/>
        <v>Incompleto</v>
      </c>
    </row>
    <row r="95" spans="1:18" x14ac:dyDescent="0.3">
      <c r="A95" s="4" t="s">
        <v>167</v>
      </c>
      <c r="B95" s="5">
        <v>44770</v>
      </c>
      <c r="C95" s="5">
        <v>44785</v>
      </c>
      <c r="D95" s="5">
        <v>44784</v>
      </c>
      <c r="E95" s="6" t="s">
        <v>66</v>
      </c>
      <c r="F95" s="6" t="s">
        <v>71</v>
      </c>
      <c r="G95" s="6" t="s">
        <v>21</v>
      </c>
      <c r="H95" s="6" t="s">
        <v>48</v>
      </c>
      <c r="I95" s="7">
        <v>1130</v>
      </c>
      <c r="J95" s="7">
        <v>1130</v>
      </c>
      <c r="K95" s="8">
        <v>85.19</v>
      </c>
      <c r="L95" s="8">
        <v>88.83</v>
      </c>
      <c r="M95" s="8">
        <f t="shared" si="5"/>
        <v>96264.7</v>
      </c>
      <c r="N95" s="8">
        <f t="shared" si="5"/>
        <v>100377.9</v>
      </c>
      <c r="O95" s="8">
        <f t="shared" si="6"/>
        <v>-4113.1999999999971</v>
      </c>
      <c r="P95" s="7">
        <f t="shared" si="7"/>
        <v>14</v>
      </c>
      <c r="Q95" s="9" t="str">
        <f t="shared" si="8"/>
        <v>No Prazo</v>
      </c>
      <c r="R95" s="10" t="str">
        <f t="shared" si="9"/>
        <v>Completo</v>
      </c>
    </row>
    <row r="96" spans="1:18" x14ac:dyDescent="0.3">
      <c r="A96" s="4" t="s">
        <v>168</v>
      </c>
      <c r="B96" s="5">
        <v>44782</v>
      </c>
      <c r="C96" s="5">
        <v>44789</v>
      </c>
      <c r="D96" s="5">
        <v>44786</v>
      </c>
      <c r="E96" s="6" t="s">
        <v>66</v>
      </c>
      <c r="F96" s="6" t="s">
        <v>71</v>
      </c>
      <c r="G96" s="6" t="s">
        <v>26</v>
      </c>
      <c r="H96" s="6" t="s">
        <v>42</v>
      </c>
      <c r="I96" s="7">
        <v>1675</v>
      </c>
      <c r="J96" s="7">
        <v>1044</v>
      </c>
      <c r="K96" s="8">
        <v>304.7</v>
      </c>
      <c r="L96" s="8">
        <v>299.95999999999998</v>
      </c>
      <c r="M96" s="8">
        <f t="shared" si="5"/>
        <v>510372.5</v>
      </c>
      <c r="N96" s="8">
        <f t="shared" si="5"/>
        <v>313158.24</v>
      </c>
      <c r="O96" s="8">
        <f t="shared" si="6"/>
        <v>197214.26</v>
      </c>
      <c r="P96" s="7">
        <f t="shared" si="7"/>
        <v>4</v>
      </c>
      <c r="Q96" s="9" t="str">
        <f t="shared" si="8"/>
        <v>No Prazo</v>
      </c>
      <c r="R96" s="10" t="str">
        <f t="shared" si="9"/>
        <v>Incompleto</v>
      </c>
    </row>
    <row r="97" spans="1:18" x14ac:dyDescent="0.3">
      <c r="A97" s="4" t="s">
        <v>169</v>
      </c>
      <c r="B97" s="5">
        <v>44786</v>
      </c>
      <c r="C97" s="5">
        <v>44805</v>
      </c>
      <c r="D97" s="5">
        <v>44812</v>
      </c>
      <c r="E97" s="6" t="s">
        <v>29</v>
      </c>
      <c r="F97" s="6" t="s">
        <v>113</v>
      </c>
      <c r="G97" s="6" t="s">
        <v>26</v>
      </c>
      <c r="H97" s="6" t="s">
        <v>53</v>
      </c>
      <c r="I97" s="7">
        <v>365</v>
      </c>
      <c r="J97" s="7">
        <v>365</v>
      </c>
      <c r="K97" s="8">
        <v>216.77</v>
      </c>
      <c r="L97" s="8">
        <v>205.5</v>
      </c>
      <c r="M97" s="8">
        <f t="shared" si="5"/>
        <v>79121.05</v>
      </c>
      <c r="N97" s="8">
        <f t="shared" si="5"/>
        <v>75007.5</v>
      </c>
      <c r="O97" s="8">
        <f t="shared" si="6"/>
        <v>4113.5500000000029</v>
      </c>
      <c r="P97" s="7">
        <f t="shared" si="7"/>
        <v>26</v>
      </c>
      <c r="Q97" s="9" t="str">
        <f t="shared" si="8"/>
        <v>Com Atraso</v>
      </c>
      <c r="R97" s="10" t="str">
        <f t="shared" si="9"/>
        <v>Completo</v>
      </c>
    </row>
    <row r="98" spans="1:18" x14ac:dyDescent="0.3">
      <c r="A98" s="4" t="s">
        <v>170</v>
      </c>
      <c r="B98" s="5">
        <v>44792</v>
      </c>
      <c r="C98" s="5">
        <v>44801</v>
      </c>
      <c r="D98" s="5">
        <v>44800</v>
      </c>
      <c r="E98" s="6" t="s">
        <v>55</v>
      </c>
      <c r="F98" s="6" t="s">
        <v>171</v>
      </c>
      <c r="G98" s="6" t="s">
        <v>26</v>
      </c>
      <c r="H98" s="6" t="s">
        <v>35</v>
      </c>
      <c r="I98" s="7">
        <v>1635</v>
      </c>
      <c r="J98" s="7">
        <v>1635</v>
      </c>
      <c r="K98" s="8">
        <v>180.35</v>
      </c>
      <c r="L98" s="8">
        <v>159</v>
      </c>
      <c r="M98" s="8">
        <f t="shared" si="5"/>
        <v>294872.25</v>
      </c>
      <c r="N98" s="8">
        <f t="shared" si="5"/>
        <v>259965</v>
      </c>
      <c r="O98" s="8">
        <f t="shared" si="6"/>
        <v>34907.25</v>
      </c>
      <c r="P98" s="7">
        <f t="shared" si="7"/>
        <v>8</v>
      </c>
      <c r="Q98" s="9" t="str">
        <f t="shared" si="8"/>
        <v>No Prazo</v>
      </c>
      <c r="R98" s="10" t="str">
        <f t="shared" si="9"/>
        <v>Completo</v>
      </c>
    </row>
    <row r="99" spans="1:18" x14ac:dyDescent="0.3">
      <c r="A99" s="4" t="s">
        <v>172</v>
      </c>
      <c r="B99" s="5">
        <v>44794</v>
      </c>
      <c r="C99" s="5">
        <v>44800</v>
      </c>
      <c r="D99" s="5">
        <v>44799</v>
      </c>
      <c r="E99" s="6" t="s">
        <v>24</v>
      </c>
      <c r="F99" s="6" t="s">
        <v>116</v>
      </c>
      <c r="G99" s="6" t="s">
        <v>64</v>
      </c>
      <c r="H99" s="6" t="s">
        <v>42</v>
      </c>
      <c r="I99" s="7">
        <v>2110</v>
      </c>
      <c r="J99" s="7">
        <v>2110</v>
      </c>
      <c r="K99" s="8">
        <v>202.35</v>
      </c>
      <c r="L99" s="8">
        <v>193.67</v>
      </c>
      <c r="M99" s="8">
        <f t="shared" si="5"/>
        <v>426958.5</v>
      </c>
      <c r="N99" s="8">
        <f t="shared" si="5"/>
        <v>408643.69999999995</v>
      </c>
      <c r="O99" s="8">
        <f t="shared" si="6"/>
        <v>18314.800000000047</v>
      </c>
      <c r="P99" s="7">
        <f t="shared" si="7"/>
        <v>5</v>
      </c>
      <c r="Q99" s="9" t="str">
        <f t="shared" si="8"/>
        <v>No Prazo</v>
      </c>
      <c r="R99" s="10" t="str">
        <f t="shared" si="9"/>
        <v>Completo</v>
      </c>
    </row>
    <row r="100" spans="1:18" x14ac:dyDescent="0.3">
      <c r="A100" s="4" t="s">
        <v>173</v>
      </c>
      <c r="B100" s="5">
        <v>44795</v>
      </c>
      <c r="C100" s="5">
        <v>44806</v>
      </c>
      <c r="D100" s="5">
        <v>44811</v>
      </c>
      <c r="E100" s="6" t="s">
        <v>37</v>
      </c>
      <c r="F100" s="6" t="s">
        <v>41</v>
      </c>
      <c r="G100" s="6" t="s">
        <v>34</v>
      </c>
      <c r="H100" s="6" t="s">
        <v>57</v>
      </c>
      <c r="I100" s="7">
        <v>2415</v>
      </c>
      <c r="J100" s="7">
        <v>2415</v>
      </c>
      <c r="K100" s="8">
        <v>132.38999999999999</v>
      </c>
      <c r="L100" s="8">
        <v>127.29</v>
      </c>
      <c r="M100" s="8">
        <f t="shared" si="5"/>
        <v>319721.84999999998</v>
      </c>
      <c r="N100" s="8">
        <f t="shared" si="5"/>
        <v>307405.35000000003</v>
      </c>
      <c r="O100" s="8">
        <f t="shared" si="6"/>
        <v>12316.499999999942</v>
      </c>
      <c r="P100" s="7">
        <f t="shared" si="7"/>
        <v>16</v>
      </c>
      <c r="Q100" s="9" t="str">
        <f t="shared" si="8"/>
        <v>Com Atraso</v>
      </c>
      <c r="R100" s="10" t="str">
        <f t="shared" si="9"/>
        <v>Completo</v>
      </c>
    </row>
    <row r="101" spans="1:18" x14ac:dyDescent="0.3">
      <c r="A101" s="4" t="s">
        <v>174</v>
      </c>
      <c r="B101" s="5">
        <v>44798</v>
      </c>
      <c r="C101" s="5">
        <v>44808</v>
      </c>
      <c r="D101" s="5">
        <v>44805</v>
      </c>
      <c r="E101" s="6" t="s">
        <v>19</v>
      </c>
      <c r="F101" s="6" t="s">
        <v>20</v>
      </c>
      <c r="G101" s="6" t="s">
        <v>34</v>
      </c>
      <c r="H101" s="6" t="s">
        <v>48</v>
      </c>
      <c r="I101" s="7">
        <v>2355</v>
      </c>
      <c r="J101" s="7">
        <v>2355</v>
      </c>
      <c r="K101" s="8">
        <v>476.6</v>
      </c>
      <c r="L101" s="8">
        <v>439.08</v>
      </c>
      <c r="M101" s="8">
        <f t="shared" si="5"/>
        <v>1122393</v>
      </c>
      <c r="N101" s="8">
        <f t="shared" si="5"/>
        <v>1034033.3999999999</v>
      </c>
      <c r="O101" s="8">
        <f t="shared" si="6"/>
        <v>88359.600000000093</v>
      </c>
      <c r="P101" s="7">
        <f t="shared" si="7"/>
        <v>7</v>
      </c>
      <c r="Q101" s="9" t="str">
        <f t="shared" si="8"/>
        <v>No Prazo</v>
      </c>
      <c r="R101" s="10" t="str">
        <f t="shared" si="9"/>
        <v>Completo</v>
      </c>
    </row>
    <row r="102" spans="1:18" x14ac:dyDescent="0.3">
      <c r="A102" s="4" t="s">
        <v>175</v>
      </c>
      <c r="B102" s="5">
        <v>44799</v>
      </c>
      <c r="C102" s="5">
        <v>44819</v>
      </c>
      <c r="D102" s="5">
        <v>44815</v>
      </c>
      <c r="E102" s="6" t="s">
        <v>37</v>
      </c>
      <c r="F102" s="6" t="s">
        <v>41</v>
      </c>
      <c r="G102" s="6" t="s">
        <v>21</v>
      </c>
      <c r="H102" s="6" t="s">
        <v>59</v>
      </c>
      <c r="I102" s="7">
        <v>785</v>
      </c>
      <c r="J102" s="7">
        <v>785</v>
      </c>
      <c r="K102" s="8">
        <v>226.3</v>
      </c>
      <c r="L102" s="8">
        <v>227.71</v>
      </c>
      <c r="M102" s="8">
        <f t="shared" si="5"/>
        <v>177645.5</v>
      </c>
      <c r="N102" s="8">
        <f t="shared" si="5"/>
        <v>178752.35</v>
      </c>
      <c r="O102" s="8">
        <f t="shared" si="6"/>
        <v>-1106.8500000000058</v>
      </c>
      <c r="P102" s="7">
        <f t="shared" si="7"/>
        <v>16</v>
      </c>
      <c r="Q102" s="9" t="str">
        <f t="shared" si="8"/>
        <v>No Prazo</v>
      </c>
      <c r="R102" s="10" t="str">
        <f t="shared" si="9"/>
        <v>Completo</v>
      </c>
    </row>
    <row r="103" spans="1:18" x14ac:dyDescent="0.3">
      <c r="A103" s="4" t="s">
        <v>176</v>
      </c>
      <c r="B103" s="5">
        <v>44812</v>
      </c>
      <c r="C103" s="5">
        <v>44832</v>
      </c>
      <c r="D103" s="5">
        <v>44831</v>
      </c>
      <c r="E103" s="6" t="s">
        <v>66</v>
      </c>
      <c r="F103" s="6" t="s">
        <v>141</v>
      </c>
      <c r="G103" s="6" t="s">
        <v>64</v>
      </c>
      <c r="H103" s="6" t="s">
        <v>59</v>
      </c>
      <c r="I103" s="7">
        <v>1960</v>
      </c>
      <c r="J103" s="7">
        <v>1960</v>
      </c>
      <c r="K103" s="8">
        <v>386.44</v>
      </c>
      <c r="L103" s="8">
        <v>399.05</v>
      </c>
      <c r="M103" s="8">
        <f t="shared" si="5"/>
        <v>757422.4</v>
      </c>
      <c r="N103" s="8">
        <f t="shared" si="5"/>
        <v>782138</v>
      </c>
      <c r="O103" s="8">
        <f t="shared" si="6"/>
        <v>-24715.599999999977</v>
      </c>
      <c r="P103" s="7">
        <f t="shared" si="7"/>
        <v>19</v>
      </c>
      <c r="Q103" s="9" t="str">
        <f t="shared" si="8"/>
        <v>No Prazo</v>
      </c>
      <c r="R103" s="10" t="str">
        <f t="shared" si="9"/>
        <v>Completo</v>
      </c>
    </row>
    <row r="104" spans="1:18" x14ac:dyDescent="0.3">
      <c r="A104" s="4" t="s">
        <v>177</v>
      </c>
      <c r="B104" s="5">
        <v>44812</v>
      </c>
      <c r="C104" s="5">
        <v>44821</v>
      </c>
      <c r="D104" s="5">
        <v>44829</v>
      </c>
      <c r="E104" s="6" t="s">
        <v>44</v>
      </c>
      <c r="F104" s="6" t="s">
        <v>78</v>
      </c>
      <c r="G104" s="6" t="s">
        <v>34</v>
      </c>
      <c r="H104" s="6" t="s">
        <v>57</v>
      </c>
      <c r="I104" s="7">
        <v>775</v>
      </c>
      <c r="J104" s="7">
        <v>775</v>
      </c>
      <c r="K104" s="8">
        <v>312.31</v>
      </c>
      <c r="L104" s="8">
        <v>302.67</v>
      </c>
      <c r="M104" s="8">
        <f t="shared" si="5"/>
        <v>242040.25</v>
      </c>
      <c r="N104" s="8">
        <f t="shared" si="5"/>
        <v>234569.25</v>
      </c>
      <c r="O104" s="8">
        <f t="shared" si="6"/>
        <v>7471</v>
      </c>
      <c r="P104" s="7">
        <f t="shared" si="7"/>
        <v>17</v>
      </c>
      <c r="Q104" s="9" t="str">
        <f t="shared" si="8"/>
        <v>Com Atraso</v>
      </c>
      <c r="R104" s="10" t="str">
        <f t="shared" si="9"/>
        <v>Completo</v>
      </c>
    </row>
    <row r="105" spans="1:18" x14ac:dyDescent="0.3">
      <c r="A105" s="4" t="s">
        <v>178</v>
      </c>
      <c r="B105" s="5">
        <v>44815</v>
      </c>
      <c r="C105" s="5">
        <v>44820</v>
      </c>
      <c r="D105" s="5">
        <v>44816</v>
      </c>
      <c r="E105" s="6" t="s">
        <v>24</v>
      </c>
      <c r="F105" s="6" t="s">
        <v>86</v>
      </c>
      <c r="G105" s="6" t="s">
        <v>34</v>
      </c>
      <c r="H105" s="6" t="s">
        <v>81</v>
      </c>
      <c r="I105" s="7">
        <v>1085</v>
      </c>
      <c r="J105" s="7">
        <v>1085</v>
      </c>
      <c r="K105" s="8">
        <v>270.89</v>
      </c>
      <c r="L105" s="8">
        <v>240.97</v>
      </c>
      <c r="M105" s="8">
        <f t="shared" si="5"/>
        <v>293915.64999999997</v>
      </c>
      <c r="N105" s="8">
        <f t="shared" si="5"/>
        <v>261452.45</v>
      </c>
      <c r="O105" s="8">
        <f t="shared" si="6"/>
        <v>32463.199999999953</v>
      </c>
      <c r="P105" s="7">
        <f t="shared" si="7"/>
        <v>1</v>
      </c>
      <c r="Q105" s="9" t="str">
        <f t="shared" si="8"/>
        <v>No Prazo</v>
      </c>
      <c r="R105" s="10" t="str">
        <f t="shared" si="9"/>
        <v>Completo</v>
      </c>
    </row>
    <row r="106" spans="1:18" x14ac:dyDescent="0.3">
      <c r="A106" s="4" t="s">
        <v>179</v>
      </c>
      <c r="B106" s="5">
        <v>44823</v>
      </c>
      <c r="C106" s="5">
        <v>44834</v>
      </c>
      <c r="D106" s="5">
        <v>44831</v>
      </c>
      <c r="E106" s="6" t="s">
        <v>29</v>
      </c>
      <c r="F106" s="6" t="s">
        <v>92</v>
      </c>
      <c r="G106" s="6" t="s">
        <v>64</v>
      </c>
      <c r="H106" s="6" t="s">
        <v>88</v>
      </c>
      <c r="I106" s="7">
        <v>1600</v>
      </c>
      <c r="J106" s="7">
        <v>1600</v>
      </c>
      <c r="K106" s="8">
        <v>229.88</v>
      </c>
      <c r="L106" s="8">
        <v>219.57</v>
      </c>
      <c r="M106" s="8">
        <f t="shared" si="5"/>
        <v>367808</v>
      </c>
      <c r="N106" s="8">
        <f t="shared" si="5"/>
        <v>351312</v>
      </c>
      <c r="O106" s="8">
        <f t="shared" si="6"/>
        <v>16496</v>
      </c>
      <c r="P106" s="7">
        <f t="shared" si="7"/>
        <v>8</v>
      </c>
      <c r="Q106" s="9" t="str">
        <f t="shared" si="8"/>
        <v>No Prazo</v>
      </c>
      <c r="R106" s="10" t="str">
        <f t="shared" si="9"/>
        <v>Completo</v>
      </c>
    </row>
    <row r="107" spans="1:18" x14ac:dyDescent="0.3">
      <c r="A107" s="4" t="s">
        <v>180</v>
      </c>
      <c r="B107" s="5">
        <v>44832</v>
      </c>
      <c r="C107" s="5">
        <v>44847</v>
      </c>
      <c r="D107" s="5">
        <v>44853</v>
      </c>
      <c r="E107" s="6" t="s">
        <v>29</v>
      </c>
      <c r="F107" s="6" t="s">
        <v>30</v>
      </c>
      <c r="G107" s="6" t="s">
        <v>51</v>
      </c>
      <c r="H107" s="6" t="s">
        <v>35</v>
      </c>
      <c r="I107" s="7">
        <v>1240</v>
      </c>
      <c r="J107" s="7">
        <v>1240</v>
      </c>
      <c r="K107" s="8">
        <v>471.27</v>
      </c>
      <c r="L107" s="8">
        <v>452.33</v>
      </c>
      <c r="M107" s="8">
        <f t="shared" si="5"/>
        <v>584374.79999999993</v>
      </c>
      <c r="N107" s="8">
        <f t="shared" si="5"/>
        <v>560889.19999999995</v>
      </c>
      <c r="O107" s="8">
        <f t="shared" si="6"/>
        <v>23485.599999999977</v>
      </c>
      <c r="P107" s="7">
        <f t="shared" si="7"/>
        <v>21</v>
      </c>
      <c r="Q107" s="9" t="str">
        <f t="shared" si="8"/>
        <v>Com Atraso</v>
      </c>
      <c r="R107" s="10" t="str">
        <f t="shared" si="9"/>
        <v>Completo</v>
      </c>
    </row>
    <row r="108" spans="1:18" x14ac:dyDescent="0.3">
      <c r="A108" s="4" t="s">
        <v>181</v>
      </c>
      <c r="B108" s="5">
        <v>44833</v>
      </c>
      <c r="C108" s="5">
        <v>44851</v>
      </c>
      <c r="D108" s="5">
        <v>44848</v>
      </c>
      <c r="E108" s="6" t="s">
        <v>66</v>
      </c>
      <c r="F108" s="6" t="s">
        <v>141</v>
      </c>
      <c r="G108" s="6" t="s">
        <v>34</v>
      </c>
      <c r="H108" s="6" t="s">
        <v>88</v>
      </c>
      <c r="I108" s="7">
        <v>980</v>
      </c>
      <c r="J108" s="7">
        <v>980</v>
      </c>
      <c r="K108" s="8">
        <v>54.64</v>
      </c>
      <c r="L108" s="8">
        <v>50.82</v>
      </c>
      <c r="M108" s="8">
        <f t="shared" si="5"/>
        <v>53547.199999999997</v>
      </c>
      <c r="N108" s="8">
        <f t="shared" si="5"/>
        <v>49803.6</v>
      </c>
      <c r="O108" s="8">
        <f t="shared" si="6"/>
        <v>3743.5999999999985</v>
      </c>
      <c r="P108" s="7">
        <f t="shared" si="7"/>
        <v>15</v>
      </c>
      <c r="Q108" s="9" t="str">
        <f t="shared" si="8"/>
        <v>No Prazo</v>
      </c>
      <c r="R108" s="10" t="str">
        <f t="shared" si="9"/>
        <v>Completo</v>
      </c>
    </row>
    <row r="109" spans="1:18" x14ac:dyDescent="0.3">
      <c r="A109" s="4" t="s">
        <v>182</v>
      </c>
      <c r="B109" s="5">
        <v>44835</v>
      </c>
      <c r="C109" s="5">
        <v>44842</v>
      </c>
      <c r="D109" s="5">
        <v>44841</v>
      </c>
      <c r="E109" s="6" t="s">
        <v>44</v>
      </c>
      <c r="F109" s="6" t="s">
        <v>69</v>
      </c>
      <c r="G109" s="6" t="s">
        <v>26</v>
      </c>
      <c r="H109" s="6" t="s">
        <v>22</v>
      </c>
      <c r="I109" s="7">
        <v>1765</v>
      </c>
      <c r="J109" s="7">
        <v>1765</v>
      </c>
      <c r="K109" s="8">
        <v>455.27</v>
      </c>
      <c r="L109" s="8">
        <v>477.81</v>
      </c>
      <c r="M109" s="8">
        <f t="shared" si="5"/>
        <v>803551.54999999993</v>
      </c>
      <c r="N109" s="8">
        <f t="shared" si="5"/>
        <v>843334.65</v>
      </c>
      <c r="O109" s="8">
        <f t="shared" si="6"/>
        <v>-39783.100000000093</v>
      </c>
      <c r="P109" s="7">
        <f t="shared" si="7"/>
        <v>6</v>
      </c>
      <c r="Q109" s="9" t="str">
        <f t="shared" si="8"/>
        <v>No Prazo</v>
      </c>
      <c r="R109" s="10" t="str">
        <f t="shared" si="9"/>
        <v>Completo</v>
      </c>
    </row>
    <row r="110" spans="1:18" x14ac:dyDescent="0.3">
      <c r="A110" s="4" t="s">
        <v>183</v>
      </c>
      <c r="B110" s="5">
        <v>44841</v>
      </c>
      <c r="C110" s="5">
        <v>44859</v>
      </c>
      <c r="D110" s="5">
        <v>44856</v>
      </c>
      <c r="E110" s="6" t="s">
        <v>19</v>
      </c>
      <c r="F110" s="6" t="s">
        <v>73</v>
      </c>
      <c r="G110" s="6" t="s">
        <v>51</v>
      </c>
      <c r="H110" s="6" t="s">
        <v>42</v>
      </c>
      <c r="I110" s="7">
        <v>1945</v>
      </c>
      <c r="J110" s="7">
        <v>1945</v>
      </c>
      <c r="K110" s="8">
        <v>134.41</v>
      </c>
      <c r="L110" s="8">
        <v>139.63999999999999</v>
      </c>
      <c r="M110" s="8">
        <f t="shared" si="5"/>
        <v>261427.44999999998</v>
      </c>
      <c r="N110" s="8">
        <f t="shared" si="5"/>
        <v>271599.8</v>
      </c>
      <c r="O110" s="8">
        <f t="shared" si="6"/>
        <v>-10172.350000000006</v>
      </c>
      <c r="P110" s="7">
        <f t="shared" si="7"/>
        <v>15</v>
      </c>
      <c r="Q110" s="9" t="str">
        <f t="shared" si="8"/>
        <v>No Prazo</v>
      </c>
      <c r="R110" s="10" t="str">
        <f t="shared" si="9"/>
        <v>Completo</v>
      </c>
    </row>
    <row r="111" spans="1:18" x14ac:dyDescent="0.3">
      <c r="A111" s="4" t="s">
        <v>184</v>
      </c>
      <c r="B111" s="5">
        <v>44853</v>
      </c>
      <c r="C111" s="5">
        <v>44862</v>
      </c>
      <c r="D111" s="5">
        <v>44861</v>
      </c>
      <c r="E111" s="6" t="s">
        <v>37</v>
      </c>
      <c r="F111" s="6" t="s">
        <v>41</v>
      </c>
      <c r="G111" s="6" t="s">
        <v>21</v>
      </c>
      <c r="H111" s="6" t="s">
        <v>22</v>
      </c>
      <c r="I111" s="7">
        <v>145</v>
      </c>
      <c r="J111" s="7">
        <v>145</v>
      </c>
      <c r="K111" s="8">
        <v>400.41</v>
      </c>
      <c r="L111" s="8">
        <v>399.74</v>
      </c>
      <c r="M111" s="8">
        <f t="shared" si="5"/>
        <v>58059.450000000004</v>
      </c>
      <c r="N111" s="8">
        <f t="shared" si="5"/>
        <v>57962.3</v>
      </c>
      <c r="O111" s="8">
        <f t="shared" si="6"/>
        <v>97.150000000001455</v>
      </c>
      <c r="P111" s="7">
        <f t="shared" si="7"/>
        <v>8</v>
      </c>
      <c r="Q111" s="9" t="str">
        <f t="shared" si="8"/>
        <v>No Prazo</v>
      </c>
      <c r="R111" s="10" t="str">
        <f t="shared" si="9"/>
        <v>Completo</v>
      </c>
    </row>
    <row r="112" spans="1:18" x14ac:dyDescent="0.3">
      <c r="A112" s="4" t="s">
        <v>185</v>
      </c>
      <c r="B112" s="5">
        <v>44855</v>
      </c>
      <c r="C112" s="5">
        <v>44873</v>
      </c>
      <c r="D112" s="5">
        <v>44873</v>
      </c>
      <c r="E112" s="6" t="s">
        <v>44</v>
      </c>
      <c r="F112" s="6" t="s">
        <v>61</v>
      </c>
      <c r="G112" s="6" t="s">
        <v>21</v>
      </c>
      <c r="H112" s="6" t="s">
        <v>22</v>
      </c>
      <c r="I112" s="7">
        <v>640</v>
      </c>
      <c r="J112" s="7">
        <v>640</v>
      </c>
      <c r="K112" s="8">
        <v>83.94</v>
      </c>
      <c r="L112" s="8">
        <v>76.92</v>
      </c>
      <c r="M112" s="8">
        <f t="shared" si="5"/>
        <v>53721.599999999999</v>
      </c>
      <c r="N112" s="8">
        <f t="shared" si="5"/>
        <v>49228.800000000003</v>
      </c>
      <c r="O112" s="8">
        <f t="shared" si="6"/>
        <v>4492.7999999999956</v>
      </c>
      <c r="P112" s="7">
        <f t="shared" si="7"/>
        <v>18</v>
      </c>
      <c r="Q112" s="9" t="str">
        <f t="shared" si="8"/>
        <v>No Prazo</v>
      </c>
      <c r="R112" s="10" t="str">
        <f t="shared" si="9"/>
        <v>Completo</v>
      </c>
    </row>
    <row r="113" spans="1:18" x14ac:dyDescent="0.3">
      <c r="A113" s="4" t="s">
        <v>186</v>
      </c>
      <c r="B113" s="5">
        <v>44858</v>
      </c>
      <c r="C113" s="5">
        <v>44864</v>
      </c>
      <c r="D113" s="5">
        <v>44862</v>
      </c>
      <c r="E113" s="6" t="s">
        <v>24</v>
      </c>
      <c r="F113" s="6" t="s">
        <v>86</v>
      </c>
      <c r="G113" s="6" t="s">
        <v>21</v>
      </c>
      <c r="H113" s="6" t="s">
        <v>57</v>
      </c>
      <c r="I113" s="7">
        <v>1100</v>
      </c>
      <c r="J113" s="7">
        <v>1100</v>
      </c>
      <c r="K113" s="8">
        <v>147.24</v>
      </c>
      <c r="L113" s="8">
        <v>153.22999999999999</v>
      </c>
      <c r="M113" s="8">
        <f t="shared" si="5"/>
        <v>161964</v>
      </c>
      <c r="N113" s="8">
        <f t="shared" si="5"/>
        <v>168553</v>
      </c>
      <c r="O113" s="8">
        <f t="shared" si="6"/>
        <v>-6589</v>
      </c>
      <c r="P113" s="7">
        <f t="shared" si="7"/>
        <v>4</v>
      </c>
      <c r="Q113" s="9" t="str">
        <f t="shared" si="8"/>
        <v>No Prazo</v>
      </c>
      <c r="R113" s="10" t="str">
        <f t="shared" si="9"/>
        <v>Completo</v>
      </c>
    </row>
    <row r="114" spans="1:18" x14ac:dyDescent="0.3">
      <c r="A114" s="4" t="s">
        <v>187</v>
      </c>
      <c r="B114" s="5">
        <v>44866</v>
      </c>
      <c r="C114" s="5">
        <v>44879</v>
      </c>
      <c r="D114" s="5">
        <v>44879</v>
      </c>
      <c r="E114" s="6" t="s">
        <v>55</v>
      </c>
      <c r="F114" s="6" t="s">
        <v>75</v>
      </c>
      <c r="G114" s="6" t="s">
        <v>21</v>
      </c>
      <c r="H114" s="6" t="s">
        <v>57</v>
      </c>
      <c r="I114" s="7">
        <v>2090</v>
      </c>
      <c r="J114" s="7">
        <v>2090</v>
      </c>
      <c r="K114" s="8">
        <v>143.24</v>
      </c>
      <c r="L114" s="8">
        <v>140.57</v>
      </c>
      <c r="M114" s="8">
        <f t="shared" si="5"/>
        <v>299371.60000000003</v>
      </c>
      <c r="N114" s="8">
        <f t="shared" si="5"/>
        <v>293791.3</v>
      </c>
      <c r="O114" s="8">
        <f t="shared" si="6"/>
        <v>5580.3000000000466</v>
      </c>
      <c r="P114" s="7">
        <f t="shared" si="7"/>
        <v>13</v>
      </c>
      <c r="Q114" s="9" t="str">
        <f t="shared" si="8"/>
        <v>No Prazo</v>
      </c>
      <c r="R114" s="10" t="str">
        <f t="shared" si="9"/>
        <v>Completo</v>
      </c>
    </row>
    <row r="115" spans="1:18" x14ac:dyDescent="0.3">
      <c r="A115" s="4" t="s">
        <v>188</v>
      </c>
      <c r="B115" s="5">
        <v>44866</v>
      </c>
      <c r="C115" s="5">
        <v>44884</v>
      </c>
      <c r="D115" s="5">
        <v>44884</v>
      </c>
      <c r="E115" s="6" t="s">
        <v>55</v>
      </c>
      <c r="F115" s="6" t="s">
        <v>150</v>
      </c>
      <c r="G115" s="6" t="s">
        <v>64</v>
      </c>
      <c r="H115" s="6" t="s">
        <v>48</v>
      </c>
      <c r="I115" s="7">
        <v>2400</v>
      </c>
      <c r="J115" s="7">
        <v>2400</v>
      </c>
      <c r="K115" s="8">
        <v>216.66</v>
      </c>
      <c r="L115" s="8">
        <v>194.56</v>
      </c>
      <c r="M115" s="8">
        <f t="shared" si="5"/>
        <v>519984</v>
      </c>
      <c r="N115" s="8">
        <f t="shared" si="5"/>
        <v>466944</v>
      </c>
      <c r="O115" s="8">
        <f t="shared" si="6"/>
        <v>53040</v>
      </c>
      <c r="P115" s="7">
        <f t="shared" si="7"/>
        <v>18</v>
      </c>
      <c r="Q115" s="9" t="str">
        <f t="shared" si="8"/>
        <v>No Prazo</v>
      </c>
      <c r="R115" s="10" t="str">
        <f t="shared" si="9"/>
        <v>Completo</v>
      </c>
    </row>
    <row r="116" spans="1:18" x14ac:dyDescent="0.3">
      <c r="A116" s="4" t="s">
        <v>189</v>
      </c>
      <c r="B116" s="5">
        <v>44871</v>
      </c>
      <c r="C116" s="5">
        <v>44889</v>
      </c>
      <c r="D116" s="5">
        <v>44885</v>
      </c>
      <c r="E116" s="6" t="s">
        <v>55</v>
      </c>
      <c r="F116" s="6" t="s">
        <v>75</v>
      </c>
      <c r="G116" s="6" t="s">
        <v>26</v>
      </c>
      <c r="H116" s="6" t="s">
        <v>57</v>
      </c>
      <c r="I116" s="7">
        <v>1995</v>
      </c>
      <c r="J116" s="7">
        <v>1995</v>
      </c>
      <c r="K116" s="8">
        <v>142.58000000000001</v>
      </c>
      <c r="L116" s="8">
        <v>148.53</v>
      </c>
      <c r="M116" s="8">
        <f t="shared" si="5"/>
        <v>284447.10000000003</v>
      </c>
      <c r="N116" s="8">
        <f t="shared" si="5"/>
        <v>296317.34999999998</v>
      </c>
      <c r="O116" s="8">
        <f t="shared" si="6"/>
        <v>-11870.249999999942</v>
      </c>
      <c r="P116" s="7">
        <f t="shared" si="7"/>
        <v>14</v>
      </c>
      <c r="Q116" s="9" t="str">
        <f t="shared" si="8"/>
        <v>No Prazo</v>
      </c>
      <c r="R116" s="10" t="str">
        <f t="shared" si="9"/>
        <v>Completo</v>
      </c>
    </row>
    <row r="117" spans="1:18" x14ac:dyDescent="0.3">
      <c r="A117" s="4" t="s">
        <v>190</v>
      </c>
      <c r="B117" s="5">
        <v>44876</v>
      </c>
      <c r="C117" s="5">
        <v>44896</v>
      </c>
      <c r="D117" s="5">
        <v>44907</v>
      </c>
      <c r="E117" s="6" t="s">
        <v>55</v>
      </c>
      <c r="F117" s="6" t="s">
        <v>75</v>
      </c>
      <c r="G117" s="6" t="s">
        <v>51</v>
      </c>
      <c r="H117" s="6" t="s">
        <v>42</v>
      </c>
      <c r="I117" s="7">
        <v>1325</v>
      </c>
      <c r="J117" s="7">
        <v>1325</v>
      </c>
      <c r="K117" s="8">
        <v>453.57</v>
      </c>
      <c r="L117" s="8">
        <v>425.17</v>
      </c>
      <c r="M117" s="8">
        <f t="shared" si="5"/>
        <v>600980.25</v>
      </c>
      <c r="N117" s="8">
        <f t="shared" si="5"/>
        <v>563350.25</v>
      </c>
      <c r="O117" s="8">
        <f t="shared" si="6"/>
        <v>37630</v>
      </c>
      <c r="P117" s="7">
        <f t="shared" si="7"/>
        <v>31</v>
      </c>
      <c r="Q117" s="9" t="str">
        <f t="shared" si="8"/>
        <v>Com Atraso</v>
      </c>
      <c r="R117" s="10" t="str">
        <f t="shared" si="9"/>
        <v>Completo</v>
      </c>
    </row>
    <row r="118" spans="1:18" x14ac:dyDescent="0.3">
      <c r="A118" s="4" t="s">
        <v>191</v>
      </c>
      <c r="B118" s="5">
        <v>44878</v>
      </c>
      <c r="C118" s="5">
        <v>44888</v>
      </c>
      <c r="D118" s="5">
        <v>44887</v>
      </c>
      <c r="E118" s="6" t="s">
        <v>29</v>
      </c>
      <c r="F118" s="6" t="s">
        <v>63</v>
      </c>
      <c r="G118" s="6" t="s">
        <v>26</v>
      </c>
      <c r="H118" s="6" t="s">
        <v>53</v>
      </c>
      <c r="I118" s="7">
        <v>690</v>
      </c>
      <c r="J118" s="7">
        <v>690</v>
      </c>
      <c r="K118" s="8">
        <v>349.7</v>
      </c>
      <c r="L118" s="8">
        <v>326.5</v>
      </c>
      <c r="M118" s="8">
        <f t="shared" si="5"/>
        <v>241293</v>
      </c>
      <c r="N118" s="8">
        <f t="shared" si="5"/>
        <v>225285</v>
      </c>
      <c r="O118" s="8">
        <f t="shared" si="6"/>
        <v>16008</v>
      </c>
      <c r="P118" s="7">
        <f t="shared" si="7"/>
        <v>9</v>
      </c>
      <c r="Q118" s="9" t="str">
        <f t="shared" si="8"/>
        <v>No Prazo</v>
      </c>
      <c r="R118" s="10" t="str">
        <f t="shared" si="9"/>
        <v>Completo</v>
      </c>
    </row>
    <row r="119" spans="1:18" x14ac:dyDescent="0.3">
      <c r="A119" s="4" t="s">
        <v>192</v>
      </c>
      <c r="B119" s="5">
        <v>44880</v>
      </c>
      <c r="C119" s="5">
        <v>44889</v>
      </c>
      <c r="D119" s="5">
        <v>44887</v>
      </c>
      <c r="E119" s="6" t="s">
        <v>66</v>
      </c>
      <c r="F119" s="6" t="s">
        <v>71</v>
      </c>
      <c r="G119" s="6" t="s">
        <v>64</v>
      </c>
      <c r="H119" s="6" t="s">
        <v>81</v>
      </c>
      <c r="I119" s="7">
        <v>1395</v>
      </c>
      <c r="J119" s="7">
        <v>707</v>
      </c>
      <c r="K119" s="8">
        <v>79.89</v>
      </c>
      <c r="L119" s="8">
        <v>82.13</v>
      </c>
      <c r="M119" s="8">
        <f t="shared" si="5"/>
        <v>111446.55</v>
      </c>
      <c r="N119" s="8">
        <f t="shared" si="5"/>
        <v>58065.909999999996</v>
      </c>
      <c r="O119" s="8">
        <f t="shared" si="6"/>
        <v>53380.640000000007</v>
      </c>
      <c r="P119" s="7">
        <f t="shared" si="7"/>
        <v>7</v>
      </c>
      <c r="Q119" s="9" t="str">
        <f t="shared" si="8"/>
        <v>No Prazo</v>
      </c>
      <c r="R119" s="10" t="str">
        <f t="shared" si="9"/>
        <v>Incompleto</v>
      </c>
    </row>
    <row r="120" spans="1:18" x14ac:dyDescent="0.3">
      <c r="A120" s="4" t="s">
        <v>193</v>
      </c>
      <c r="B120" s="5">
        <v>44894</v>
      </c>
      <c r="C120" s="5">
        <v>44914</v>
      </c>
      <c r="D120" s="5">
        <v>44915</v>
      </c>
      <c r="E120" s="6" t="s">
        <v>44</v>
      </c>
      <c r="F120" s="6" t="s">
        <v>69</v>
      </c>
      <c r="G120" s="6" t="s">
        <v>34</v>
      </c>
      <c r="H120" s="6" t="s">
        <v>57</v>
      </c>
      <c r="I120" s="7">
        <v>2230</v>
      </c>
      <c r="J120" s="7">
        <v>2230</v>
      </c>
      <c r="K120" s="8">
        <v>261.97000000000003</v>
      </c>
      <c r="L120" s="8">
        <v>273.02999999999997</v>
      </c>
      <c r="M120" s="8">
        <f t="shared" si="5"/>
        <v>584193.10000000009</v>
      </c>
      <c r="N120" s="8">
        <f t="shared" si="5"/>
        <v>608856.89999999991</v>
      </c>
      <c r="O120" s="8">
        <f t="shared" si="6"/>
        <v>-24663.799999999814</v>
      </c>
      <c r="P120" s="7">
        <f t="shared" si="7"/>
        <v>21</v>
      </c>
      <c r="Q120" s="9" t="str">
        <f t="shared" si="8"/>
        <v>Com Atraso</v>
      </c>
      <c r="R120" s="10" t="str">
        <f t="shared" si="9"/>
        <v>Completo</v>
      </c>
    </row>
    <row r="121" spans="1:18" x14ac:dyDescent="0.3">
      <c r="A121" s="4" t="s">
        <v>194</v>
      </c>
      <c r="B121" s="5">
        <v>44895</v>
      </c>
      <c r="C121" s="5">
        <v>44913</v>
      </c>
      <c r="D121" s="5">
        <v>44913</v>
      </c>
      <c r="E121" s="6" t="s">
        <v>55</v>
      </c>
      <c r="F121" s="6" t="s">
        <v>75</v>
      </c>
      <c r="G121" s="6" t="s">
        <v>64</v>
      </c>
      <c r="H121" s="6" t="s">
        <v>57</v>
      </c>
      <c r="I121" s="7">
        <v>2415</v>
      </c>
      <c r="J121" s="7">
        <v>2415</v>
      </c>
      <c r="K121" s="8">
        <v>137.19</v>
      </c>
      <c r="L121" s="8">
        <v>122.65</v>
      </c>
      <c r="M121" s="8">
        <f t="shared" si="5"/>
        <v>331313.84999999998</v>
      </c>
      <c r="N121" s="8">
        <f t="shared" si="5"/>
        <v>296199.75</v>
      </c>
      <c r="O121" s="8">
        <f t="shared" si="6"/>
        <v>35114.099999999977</v>
      </c>
      <c r="P121" s="7">
        <f t="shared" si="7"/>
        <v>18</v>
      </c>
      <c r="Q121" s="9" t="str">
        <f t="shared" si="8"/>
        <v>No Prazo</v>
      </c>
      <c r="R121" s="10" t="str">
        <f t="shared" si="9"/>
        <v>Completo</v>
      </c>
    </row>
    <row r="122" spans="1:18" x14ac:dyDescent="0.3">
      <c r="A122" s="4" t="s">
        <v>195</v>
      </c>
      <c r="B122" s="5">
        <v>44907</v>
      </c>
      <c r="C122" s="5">
        <v>44924</v>
      </c>
      <c r="D122" s="5">
        <v>44923</v>
      </c>
      <c r="E122" s="6" t="s">
        <v>29</v>
      </c>
      <c r="F122" s="6" t="s">
        <v>33</v>
      </c>
      <c r="G122" s="6" t="s">
        <v>51</v>
      </c>
      <c r="H122" s="6" t="s">
        <v>39</v>
      </c>
      <c r="I122" s="7">
        <v>1215</v>
      </c>
      <c r="J122" s="7">
        <v>1082</v>
      </c>
      <c r="K122" s="8">
        <v>471.01</v>
      </c>
      <c r="L122" s="8">
        <v>433.61</v>
      </c>
      <c r="M122" s="8">
        <f t="shared" si="5"/>
        <v>572277.15</v>
      </c>
      <c r="N122" s="8">
        <f t="shared" si="5"/>
        <v>469166.02</v>
      </c>
      <c r="O122" s="8">
        <f t="shared" si="6"/>
        <v>103111.13</v>
      </c>
      <c r="P122" s="7">
        <f t="shared" si="7"/>
        <v>16</v>
      </c>
      <c r="Q122" s="9" t="str">
        <f t="shared" si="8"/>
        <v>No Prazo</v>
      </c>
      <c r="R122" s="10" t="str">
        <f t="shared" si="9"/>
        <v>Incompleto</v>
      </c>
    </row>
    <row r="123" spans="1:18" x14ac:dyDescent="0.3">
      <c r="A123" s="4" t="s">
        <v>196</v>
      </c>
      <c r="B123" s="5">
        <v>44914</v>
      </c>
      <c r="C123" s="5">
        <v>44933</v>
      </c>
      <c r="D123" s="5">
        <v>44931</v>
      </c>
      <c r="E123" s="6" t="s">
        <v>29</v>
      </c>
      <c r="F123" s="6" t="s">
        <v>30</v>
      </c>
      <c r="G123" s="6" t="s">
        <v>64</v>
      </c>
      <c r="H123" s="6" t="s">
        <v>42</v>
      </c>
      <c r="I123" s="7">
        <v>1380</v>
      </c>
      <c r="J123" s="7">
        <v>1380</v>
      </c>
      <c r="K123" s="8">
        <v>235.11</v>
      </c>
      <c r="L123" s="8">
        <v>224.41</v>
      </c>
      <c r="M123" s="8">
        <f t="shared" si="5"/>
        <v>324451.80000000005</v>
      </c>
      <c r="N123" s="8">
        <f t="shared" si="5"/>
        <v>309685.8</v>
      </c>
      <c r="O123" s="8">
        <f t="shared" si="6"/>
        <v>14766.000000000058</v>
      </c>
      <c r="P123" s="7">
        <f t="shared" si="7"/>
        <v>17</v>
      </c>
      <c r="Q123" s="9" t="str">
        <f t="shared" si="8"/>
        <v>No Prazo</v>
      </c>
      <c r="R123" s="10" t="str">
        <f t="shared" si="9"/>
        <v>Completo</v>
      </c>
    </row>
    <row r="124" spans="1:18" x14ac:dyDescent="0.3">
      <c r="A124" s="4" t="s">
        <v>197</v>
      </c>
      <c r="B124" s="5">
        <v>44920</v>
      </c>
      <c r="C124" s="5">
        <v>44927</v>
      </c>
      <c r="D124" s="5">
        <v>44926</v>
      </c>
      <c r="E124" s="6" t="s">
        <v>24</v>
      </c>
      <c r="F124" s="6" t="s">
        <v>98</v>
      </c>
      <c r="G124" s="6" t="s">
        <v>21</v>
      </c>
      <c r="H124" s="6" t="s">
        <v>81</v>
      </c>
      <c r="I124" s="7">
        <v>420</v>
      </c>
      <c r="J124" s="7">
        <v>420</v>
      </c>
      <c r="K124" s="8">
        <v>93.61</v>
      </c>
      <c r="L124" s="8">
        <v>84.81</v>
      </c>
      <c r="M124" s="8">
        <f t="shared" si="5"/>
        <v>39316.199999999997</v>
      </c>
      <c r="N124" s="8">
        <f t="shared" si="5"/>
        <v>35620.200000000004</v>
      </c>
      <c r="O124" s="8">
        <f t="shared" si="6"/>
        <v>3695.9999999999927</v>
      </c>
      <c r="P124" s="7">
        <f t="shared" si="7"/>
        <v>6</v>
      </c>
      <c r="Q124" s="9" t="str">
        <f t="shared" si="8"/>
        <v>No Prazo</v>
      </c>
      <c r="R124" s="10" t="str">
        <f t="shared" si="9"/>
        <v>Completo</v>
      </c>
    </row>
    <row r="125" spans="1:18" x14ac:dyDescent="0.3">
      <c r="A125" s="4" t="s">
        <v>198</v>
      </c>
      <c r="B125" s="5">
        <v>44920</v>
      </c>
      <c r="C125" s="5">
        <v>44927</v>
      </c>
      <c r="D125" s="5">
        <v>44926</v>
      </c>
      <c r="E125" s="6" t="s">
        <v>19</v>
      </c>
      <c r="F125" s="6" t="s">
        <v>73</v>
      </c>
      <c r="G125" s="6" t="s">
        <v>26</v>
      </c>
      <c r="H125" s="6" t="s">
        <v>88</v>
      </c>
      <c r="I125" s="7">
        <v>1160</v>
      </c>
      <c r="J125" s="7">
        <v>1160</v>
      </c>
      <c r="K125" s="8">
        <v>470.66</v>
      </c>
      <c r="L125" s="8">
        <v>490.02</v>
      </c>
      <c r="M125" s="8">
        <f t="shared" si="5"/>
        <v>545965.6</v>
      </c>
      <c r="N125" s="8">
        <f t="shared" si="5"/>
        <v>568423.19999999995</v>
      </c>
      <c r="O125" s="8">
        <f t="shared" si="6"/>
        <v>-22457.599999999977</v>
      </c>
      <c r="P125" s="7">
        <f t="shared" si="7"/>
        <v>6</v>
      </c>
      <c r="Q125" s="9" t="str">
        <f t="shared" si="8"/>
        <v>No Prazo</v>
      </c>
      <c r="R125" s="10" t="str">
        <f t="shared" si="9"/>
        <v>Completo</v>
      </c>
    </row>
    <row r="126" spans="1:18" x14ac:dyDescent="0.3">
      <c r="A126" s="4" t="s">
        <v>199</v>
      </c>
      <c r="B126" s="5">
        <v>44941</v>
      </c>
      <c r="C126" s="5">
        <v>44957</v>
      </c>
      <c r="D126" s="5">
        <v>44957</v>
      </c>
      <c r="E126" s="6" t="s">
        <v>44</v>
      </c>
      <c r="F126" s="6" t="s">
        <v>45</v>
      </c>
      <c r="G126" s="6" t="s">
        <v>34</v>
      </c>
      <c r="H126" s="6" t="s">
        <v>42</v>
      </c>
      <c r="I126" s="7">
        <v>2075</v>
      </c>
      <c r="J126" s="7">
        <v>2075</v>
      </c>
      <c r="K126" s="8">
        <v>382</v>
      </c>
      <c r="L126" s="8">
        <v>337.87</v>
      </c>
      <c r="M126" s="8">
        <f t="shared" si="5"/>
        <v>792650</v>
      </c>
      <c r="N126" s="8">
        <f t="shared" si="5"/>
        <v>701080.25</v>
      </c>
      <c r="O126" s="8">
        <f t="shared" si="6"/>
        <v>91569.75</v>
      </c>
      <c r="P126" s="7">
        <f t="shared" si="7"/>
        <v>16</v>
      </c>
      <c r="Q126" s="9" t="str">
        <f t="shared" si="8"/>
        <v>No Prazo</v>
      </c>
      <c r="R126" s="10" t="str">
        <f t="shared" si="9"/>
        <v>Completo</v>
      </c>
    </row>
    <row r="127" spans="1:18" x14ac:dyDescent="0.3">
      <c r="A127" s="4" t="s">
        <v>200</v>
      </c>
      <c r="B127" s="5">
        <v>44942</v>
      </c>
      <c r="C127" s="5">
        <v>44952</v>
      </c>
      <c r="D127" s="5">
        <v>44951</v>
      </c>
      <c r="E127" s="6" t="s">
        <v>55</v>
      </c>
      <c r="F127" s="6" t="s">
        <v>171</v>
      </c>
      <c r="G127" s="6" t="s">
        <v>51</v>
      </c>
      <c r="H127" s="6" t="s">
        <v>35</v>
      </c>
      <c r="I127" s="7">
        <v>280</v>
      </c>
      <c r="J127" s="7">
        <v>280</v>
      </c>
      <c r="K127" s="8">
        <v>415.07</v>
      </c>
      <c r="L127" s="8">
        <v>376.05</v>
      </c>
      <c r="M127" s="8">
        <f t="shared" si="5"/>
        <v>116219.59999999999</v>
      </c>
      <c r="N127" s="8">
        <f t="shared" si="5"/>
        <v>105294</v>
      </c>
      <c r="O127" s="8">
        <f t="shared" si="6"/>
        <v>10925.599999999991</v>
      </c>
      <c r="P127" s="7">
        <f t="shared" si="7"/>
        <v>9</v>
      </c>
      <c r="Q127" s="9" t="str">
        <f t="shared" si="8"/>
        <v>No Prazo</v>
      </c>
      <c r="R127" s="10" t="str">
        <f t="shared" si="9"/>
        <v>Completo</v>
      </c>
    </row>
    <row r="128" spans="1:18" x14ac:dyDescent="0.3">
      <c r="A128" s="4" t="s">
        <v>201</v>
      </c>
      <c r="B128" s="5">
        <v>44942</v>
      </c>
      <c r="C128" s="5">
        <v>44949</v>
      </c>
      <c r="D128" s="5">
        <v>44949</v>
      </c>
      <c r="E128" s="6" t="s">
        <v>19</v>
      </c>
      <c r="F128" s="6" t="s">
        <v>50</v>
      </c>
      <c r="G128" s="6" t="s">
        <v>34</v>
      </c>
      <c r="H128" s="6" t="s">
        <v>88</v>
      </c>
      <c r="I128" s="7">
        <v>440</v>
      </c>
      <c r="J128" s="7">
        <v>440</v>
      </c>
      <c r="K128" s="8">
        <v>456.07</v>
      </c>
      <c r="L128" s="8">
        <v>430.18</v>
      </c>
      <c r="M128" s="8">
        <f t="shared" si="5"/>
        <v>200670.8</v>
      </c>
      <c r="N128" s="8">
        <f t="shared" si="5"/>
        <v>189279.2</v>
      </c>
      <c r="O128" s="8">
        <f t="shared" si="6"/>
        <v>11391.599999999977</v>
      </c>
      <c r="P128" s="7">
        <f t="shared" si="7"/>
        <v>7</v>
      </c>
      <c r="Q128" s="9" t="str">
        <f t="shared" si="8"/>
        <v>No Prazo</v>
      </c>
      <c r="R128" s="10" t="str">
        <f t="shared" si="9"/>
        <v>Completo</v>
      </c>
    </row>
    <row r="129" spans="1:18" x14ac:dyDescent="0.3">
      <c r="A129" s="4" t="s">
        <v>202</v>
      </c>
      <c r="B129" s="5">
        <v>44945</v>
      </c>
      <c r="C129" s="5">
        <v>44952</v>
      </c>
      <c r="D129" s="5">
        <v>44950</v>
      </c>
      <c r="E129" s="6" t="s">
        <v>44</v>
      </c>
      <c r="F129" s="6" t="s">
        <v>45</v>
      </c>
      <c r="G129" s="6" t="s">
        <v>34</v>
      </c>
      <c r="H129" s="6" t="s">
        <v>22</v>
      </c>
      <c r="I129" s="7">
        <v>2220</v>
      </c>
      <c r="J129" s="7">
        <v>2220</v>
      </c>
      <c r="K129" s="8">
        <v>377.76</v>
      </c>
      <c r="L129" s="8">
        <v>334.66</v>
      </c>
      <c r="M129" s="8">
        <f t="shared" si="5"/>
        <v>838627.2</v>
      </c>
      <c r="N129" s="8">
        <f t="shared" si="5"/>
        <v>742945.20000000007</v>
      </c>
      <c r="O129" s="8">
        <f t="shared" si="6"/>
        <v>95681.999999999884</v>
      </c>
      <c r="P129" s="7">
        <f t="shared" si="7"/>
        <v>5</v>
      </c>
      <c r="Q129" s="9" t="str">
        <f t="shared" si="8"/>
        <v>No Prazo</v>
      </c>
      <c r="R129" s="10" t="str">
        <f t="shared" si="9"/>
        <v>Completo</v>
      </c>
    </row>
    <row r="130" spans="1:18" x14ac:dyDescent="0.3">
      <c r="A130" s="4" t="s">
        <v>203</v>
      </c>
      <c r="B130" s="5">
        <v>44952</v>
      </c>
      <c r="C130" s="5">
        <v>44960</v>
      </c>
      <c r="D130" s="5">
        <v>44958</v>
      </c>
      <c r="E130" s="6" t="s">
        <v>19</v>
      </c>
      <c r="F130" s="6" t="s">
        <v>47</v>
      </c>
      <c r="G130" s="6" t="s">
        <v>26</v>
      </c>
      <c r="H130" s="6" t="s">
        <v>42</v>
      </c>
      <c r="I130" s="7">
        <v>340</v>
      </c>
      <c r="J130" s="7">
        <v>340</v>
      </c>
      <c r="K130" s="8">
        <v>99.48</v>
      </c>
      <c r="L130" s="8">
        <v>96.3</v>
      </c>
      <c r="M130" s="8">
        <f t="shared" ref="M130:N193" si="10">I130*K130</f>
        <v>33823.200000000004</v>
      </c>
      <c r="N130" s="8">
        <f t="shared" si="10"/>
        <v>32742</v>
      </c>
      <c r="O130" s="8">
        <f t="shared" ref="O130:O193" si="11">M130-N130</f>
        <v>1081.2000000000044</v>
      </c>
      <c r="P130" s="7">
        <f t="shared" ref="P130:P193" si="12">D130-B130</f>
        <v>6</v>
      </c>
      <c r="Q130" s="9" t="str">
        <f t="shared" ref="Q130:Q193" si="13">IF(D130&lt;=C130,"No Prazo","Com Atraso")</f>
        <v>No Prazo</v>
      </c>
      <c r="R130" s="10" t="str">
        <f t="shared" ref="R130:R193" si="14">IF(J130&gt;=I130,"Completo","Incompleto")</f>
        <v>Completo</v>
      </c>
    </row>
    <row r="131" spans="1:18" x14ac:dyDescent="0.3">
      <c r="A131" s="4" t="s">
        <v>204</v>
      </c>
      <c r="B131" s="5">
        <v>44953</v>
      </c>
      <c r="C131" s="5">
        <v>44971</v>
      </c>
      <c r="D131" s="5">
        <v>44970</v>
      </c>
      <c r="E131" s="6" t="s">
        <v>44</v>
      </c>
      <c r="F131" s="6" t="s">
        <v>45</v>
      </c>
      <c r="G131" s="6" t="s">
        <v>21</v>
      </c>
      <c r="H131" s="6" t="s">
        <v>22</v>
      </c>
      <c r="I131" s="7">
        <v>1270</v>
      </c>
      <c r="J131" s="7">
        <v>1270</v>
      </c>
      <c r="K131" s="8">
        <v>362.07</v>
      </c>
      <c r="L131" s="8">
        <v>355.91</v>
      </c>
      <c r="M131" s="8">
        <f t="shared" si="10"/>
        <v>459828.89999999997</v>
      </c>
      <c r="N131" s="8">
        <f t="shared" si="10"/>
        <v>452005.7</v>
      </c>
      <c r="O131" s="8">
        <f t="shared" si="11"/>
        <v>7823.1999999999534</v>
      </c>
      <c r="P131" s="7">
        <f t="shared" si="12"/>
        <v>17</v>
      </c>
      <c r="Q131" s="9" t="str">
        <f t="shared" si="13"/>
        <v>No Prazo</v>
      </c>
      <c r="R131" s="10" t="str">
        <f t="shared" si="14"/>
        <v>Completo</v>
      </c>
    </row>
    <row r="132" spans="1:18" x14ac:dyDescent="0.3">
      <c r="A132" s="4" t="s">
        <v>205</v>
      </c>
      <c r="B132" s="5">
        <v>44959</v>
      </c>
      <c r="C132" s="5">
        <v>44967</v>
      </c>
      <c r="D132" s="5">
        <v>44966</v>
      </c>
      <c r="E132" s="6" t="s">
        <v>44</v>
      </c>
      <c r="F132" s="6" t="s">
        <v>78</v>
      </c>
      <c r="G132" s="6" t="s">
        <v>34</v>
      </c>
      <c r="H132" s="6" t="s">
        <v>57</v>
      </c>
      <c r="I132" s="7">
        <v>665</v>
      </c>
      <c r="J132" s="7">
        <v>665</v>
      </c>
      <c r="K132" s="8">
        <v>137.54</v>
      </c>
      <c r="L132" s="8">
        <v>126.83</v>
      </c>
      <c r="M132" s="8">
        <f t="shared" si="10"/>
        <v>91464.099999999991</v>
      </c>
      <c r="N132" s="8">
        <f t="shared" si="10"/>
        <v>84341.95</v>
      </c>
      <c r="O132" s="8">
        <f t="shared" si="11"/>
        <v>7122.1499999999942</v>
      </c>
      <c r="P132" s="7">
        <f t="shared" si="12"/>
        <v>7</v>
      </c>
      <c r="Q132" s="9" t="str">
        <f t="shared" si="13"/>
        <v>No Prazo</v>
      </c>
      <c r="R132" s="10" t="str">
        <f t="shared" si="14"/>
        <v>Completo</v>
      </c>
    </row>
    <row r="133" spans="1:18" x14ac:dyDescent="0.3">
      <c r="A133" s="4" t="s">
        <v>206</v>
      </c>
      <c r="B133" s="5">
        <v>44965</v>
      </c>
      <c r="C133" s="5">
        <v>44980</v>
      </c>
      <c r="D133" s="5">
        <v>44978</v>
      </c>
      <c r="E133" s="6" t="s">
        <v>29</v>
      </c>
      <c r="F133" s="6" t="s">
        <v>113</v>
      </c>
      <c r="G133" s="6" t="s">
        <v>26</v>
      </c>
      <c r="H133" s="6" t="s">
        <v>81</v>
      </c>
      <c r="I133" s="7">
        <v>930</v>
      </c>
      <c r="J133" s="7">
        <v>930</v>
      </c>
      <c r="K133" s="8">
        <v>319.7</v>
      </c>
      <c r="L133" s="8">
        <v>286.97000000000003</v>
      </c>
      <c r="M133" s="8">
        <f t="shared" si="10"/>
        <v>297321</v>
      </c>
      <c r="N133" s="8">
        <f t="shared" si="10"/>
        <v>266882.10000000003</v>
      </c>
      <c r="O133" s="8">
        <f t="shared" si="11"/>
        <v>30438.899999999965</v>
      </c>
      <c r="P133" s="7">
        <f t="shared" si="12"/>
        <v>13</v>
      </c>
      <c r="Q133" s="9" t="str">
        <f t="shared" si="13"/>
        <v>No Prazo</v>
      </c>
      <c r="R133" s="10" t="str">
        <f t="shared" si="14"/>
        <v>Completo</v>
      </c>
    </row>
    <row r="134" spans="1:18" x14ac:dyDescent="0.3">
      <c r="A134" s="4" t="s">
        <v>207</v>
      </c>
      <c r="B134" s="5">
        <v>44979</v>
      </c>
      <c r="C134" s="5">
        <v>44986</v>
      </c>
      <c r="D134" s="5">
        <v>44983</v>
      </c>
      <c r="E134" s="6" t="s">
        <v>29</v>
      </c>
      <c r="F134" s="6" t="s">
        <v>63</v>
      </c>
      <c r="G134" s="6" t="s">
        <v>26</v>
      </c>
      <c r="H134" s="6" t="s">
        <v>22</v>
      </c>
      <c r="I134" s="7">
        <v>995</v>
      </c>
      <c r="J134" s="7">
        <v>995</v>
      </c>
      <c r="K134" s="8">
        <v>325.81</v>
      </c>
      <c r="L134" s="8">
        <v>325.58999999999997</v>
      </c>
      <c r="M134" s="8">
        <f t="shared" si="10"/>
        <v>324180.95</v>
      </c>
      <c r="N134" s="8">
        <f t="shared" si="10"/>
        <v>323962.05</v>
      </c>
      <c r="O134" s="8">
        <f t="shared" si="11"/>
        <v>218.90000000002328</v>
      </c>
      <c r="P134" s="7">
        <f t="shared" si="12"/>
        <v>4</v>
      </c>
      <c r="Q134" s="9" t="str">
        <f t="shared" si="13"/>
        <v>No Prazo</v>
      </c>
      <c r="R134" s="10" t="str">
        <f t="shared" si="14"/>
        <v>Completo</v>
      </c>
    </row>
    <row r="135" spans="1:18" x14ac:dyDescent="0.3">
      <c r="A135" s="4" t="s">
        <v>208</v>
      </c>
      <c r="B135" s="5">
        <v>44979</v>
      </c>
      <c r="C135" s="5">
        <v>44988</v>
      </c>
      <c r="D135" s="5">
        <v>44988</v>
      </c>
      <c r="E135" s="6" t="s">
        <v>66</v>
      </c>
      <c r="F135" s="6" t="s">
        <v>100</v>
      </c>
      <c r="G135" s="6" t="s">
        <v>64</v>
      </c>
      <c r="H135" s="6" t="s">
        <v>57</v>
      </c>
      <c r="I135" s="7">
        <v>1150</v>
      </c>
      <c r="J135" s="7">
        <v>1150</v>
      </c>
      <c r="K135" s="8">
        <v>414.32</v>
      </c>
      <c r="L135" s="8">
        <v>433.22</v>
      </c>
      <c r="M135" s="8">
        <f t="shared" si="10"/>
        <v>476468</v>
      </c>
      <c r="N135" s="8">
        <f t="shared" si="10"/>
        <v>498203.00000000006</v>
      </c>
      <c r="O135" s="8">
        <f t="shared" si="11"/>
        <v>-21735.000000000058</v>
      </c>
      <c r="P135" s="7">
        <f t="shared" si="12"/>
        <v>9</v>
      </c>
      <c r="Q135" s="9" t="str">
        <f t="shared" si="13"/>
        <v>No Prazo</v>
      </c>
      <c r="R135" s="10" t="str">
        <f t="shared" si="14"/>
        <v>Completo</v>
      </c>
    </row>
    <row r="136" spans="1:18" x14ac:dyDescent="0.3">
      <c r="A136" s="4" t="s">
        <v>209</v>
      </c>
      <c r="B136" s="5">
        <v>44983</v>
      </c>
      <c r="C136" s="5">
        <v>44989</v>
      </c>
      <c r="D136" s="5">
        <v>44987</v>
      </c>
      <c r="E136" s="6" t="s">
        <v>44</v>
      </c>
      <c r="F136" s="6" t="s">
        <v>78</v>
      </c>
      <c r="G136" s="6" t="s">
        <v>64</v>
      </c>
      <c r="H136" s="6" t="s">
        <v>22</v>
      </c>
      <c r="I136" s="7">
        <v>2140</v>
      </c>
      <c r="J136" s="7">
        <v>2140</v>
      </c>
      <c r="K136" s="8">
        <v>295.18</v>
      </c>
      <c r="L136" s="8">
        <v>303.57</v>
      </c>
      <c r="M136" s="8">
        <f t="shared" si="10"/>
        <v>631685.20000000007</v>
      </c>
      <c r="N136" s="8">
        <f t="shared" si="10"/>
        <v>649639.79999999993</v>
      </c>
      <c r="O136" s="8">
        <f t="shared" si="11"/>
        <v>-17954.59999999986</v>
      </c>
      <c r="P136" s="7">
        <f t="shared" si="12"/>
        <v>4</v>
      </c>
      <c r="Q136" s="9" t="str">
        <f t="shared" si="13"/>
        <v>No Prazo</v>
      </c>
      <c r="R136" s="10" t="str">
        <f t="shared" si="14"/>
        <v>Completo</v>
      </c>
    </row>
    <row r="137" spans="1:18" x14ac:dyDescent="0.3">
      <c r="A137" s="4" t="s">
        <v>210</v>
      </c>
      <c r="B137" s="5">
        <v>44984</v>
      </c>
      <c r="C137" s="5">
        <v>44996</v>
      </c>
      <c r="D137" s="5">
        <v>44993</v>
      </c>
      <c r="E137" s="6" t="s">
        <v>66</v>
      </c>
      <c r="F137" s="6" t="s">
        <v>71</v>
      </c>
      <c r="G137" s="6" t="s">
        <v>64</v>
      </c>
      <c r="H137" s="6" t="s">
        <v>42</v>
      </c>
      <c r="I137" s="7">
        <v>560</v>
      </c>
      <c r="J137" s="7">
        <v>560</v>
      </c>
      <c r="K137" s="8">
        <v>227.69</v>
      </c>
      <c r="L137" s="8">
        <v>212.18</v>
      </c>
      <c r="M137" s="8">
        <f t="shared" si="10"/>
        <v>127506.4</v>
      </c>
      <c r="N137" s="8">
        <f t="shared" si="10"/>
        <v>118820.8</v>
      </c>
      <c r="O137" s="8">
        <f t="shared" si="11"/>
        <v>8685.5999999999913</v>
      </c>
      <c r="P137" s="7">
        <f t="shared" si="12"/>
        <v>9</v>
      </c>
      <c r="Q137" s="9" t="str">
        <f t="shared" si="13"/>
        <v>No Prazo</v>
      </c>
      <c r="R137" s="10" t="str">
        <f t="shared" si="14"/>
        <v>Completo</v>
      </c>
    </row>
    <row r="138" spans="1:18" x14ac:dyDescent="0.3">
      <c r="A138" s="4" t="s">
        <v>211</v>
      </c>
      <c r="B138" s="5">
        <v>44994</v>
      </c>
      <c r="C138" s="5">
        <v>45011</v>
      </c>
      <c r="D138" s="5">
        <v>45011</v>
      </c>
      <c r="E138" s="6" t="s">
        <v>19</v>
      </c>
      <c r="F138" s="6" t="s">
        <v>47</v>
      </c>
      <c r="G138" s="6" t="s">
        <v>51</v>
      </c>
      <c r="H138" s="6" t="s">
        <v>31</v>
      </c>
      <c r="I138" s="7">
        <v>2070</v>
      </c>
      <c r="J138" s="7">
        <v>2070</v>
      </c>
      <c r="K138" s="8">
        <v>168.95</v>
      </c>
      <c r="L138" s="8">
        <v>158.15</v>
      </c>
      <c r="M138" s="8">
        <f t="shared" si="10"/>
        <v>349726.5</v>
      </c>
      <c r="N138" s="8">
        <f t="shared" si="10"/>
        <v>327370.5</v>
      </c>
      <c r="O138" s="8">
        <f t="shared" si="11"/>
        <v>22356</v>
      </c>
      <c r="P138" s="7">
        <f t="shared" si="12"/>
        <v>17</v>
      </c>
      <c r="Q138" s="9" t="str">
        <f t="shared" si="13"/>
        <v>No Prazo</v>
      </c>
      <c r="R138" s="10" t="str">
        <f t="shared" si="14"/>
        <v>Completo</v>
      </c>
    </row>
    <row r="139" spans="1:18" x14ac:dyDescent="0.3">
      <c r="A139" s="4" t="s">
        <v>212</v>
      </c>
      <c r="B139" s="5">
        <v>44996</v>
      </c>
      <c r="C139" s="5">
        <v>45004</v>
      </c>
      <c r="D139" s="5">
        <v>45014</v>
      </c>
      <c r="E139" s="6" t="s">
        <v>19</v>
      </c>
      <c r="F139" s="6" t="s">
        <v>47</v>
      </c>
      <c r="G139" s="6" t="s">
        <v>51</v>
      </c>
      <c r="H139" s="6" t="s">
        <v>39</v>
      </c>
      <c r="I139" s="7">
        <v>1550</v>
      </c>
      <c r="J139" s="7">
        <v>1550</v>
      </c>
      <c r="K139" s="8">
        <v>84.74</v>
      </c>
      <c r="L139" s="8">
        <v>80.55</v>
      </c>
      <c r="M139" s="8">
        <f t="shared" si="10"/>
        <v>131347</v>
      </c>
      <c r="N139" s="8">
        <f t="shared" si="10"/>
        <v>124852.5</v>
      </c>
      <c r="O139" s="8">
        <f t="shared" si="11"/>
        <v>6494.5</v>
      </c>
      <c r="P139" s="7">
        <f t="shared" si="12"/>
        <v>18</v>
      </c>
      <c r="Q139" s="9" t="str">
        <f t="shared" si="13"/>
        <v>Com Atraso</v>
      </c>
      <c r="R139" s="10" t="str">
        <f t="shared" si="14"/>
        <v>Completo</v>
      </c>
    </row>
    <row r="140" spans="1:18" x14ac:dyDescent="0.3">
      <c r="A140" s="4" t="s">
        <v>213</v>
      </c>
      <c r="B140" s="5">
        <v>44998</v>
      </c>
      <c r="C140" s="5">
        <v>45005</v>
      </c>
      <c r="D140" s="5">
        <v>45004</v>
      </c>
      <c r="E140" s="6" t="s">
        <v>29</v>
      </c>
      <c r="F140" s="6" t="s">
        <v>30</v>
      </c>
      <c r="G140" s="6" t="s">
        <v>34</v>
      </c>
      <c r="H140" s="6" t="s">
        <v>81</v>
      </c>
      <c r="I140" s="7">
        <v>60</v>
      </c>
      <c r="J140" s="7">
        <v>42</v>
      </c>
      <c r="K140" s="8">
        <v>368.43</v>
      </c>
      <c r="L140" s="8">
        <v>330.62</v>
      </c>
      <c r="M140" s="8">
        <f t="shared" si="10"/>
        <v>22105.8</v>
      </c>
      <c r="N140" s="8">
        <f t="shared" si="10"/>
        <v>13886.04</v>
      </c>
      <c r="O140" s="8">
        <f t="shared" si="11"/>
        <v>8219.7599999999984</v>
      </c>
      <c r="P140" s="7">
        <f t="shared" si="12"/>
        <v>6</v>
      </c>
      <c r="Q140" s="9" t="str">
        <f t="shared" si="13"/>
        <v>No Prazo</v>
      </c>
      <c r="R140" s="10" t="str">
        <f t="shared" si="14"/>
        <v>Incompleto</v>
      </c>
    </row>
    <row r="141" spans="1:18" x14ac:dyDescent="0.3">
      <c r="A141" s="4" t="s">
        <v>214</v>
      </c>
      <c r="B141" s="5">
        <v>45004</v>
      </c>
      <c r="C141" s="5">
        <v>45018</v>
      </c>
      <c r="D141" s="5">
        <v>45028</v>
      </c>
      <c r="E141" s="6" t="s">
        <v>44</v>
      </c>
      <c r="F141" s="6" t="s">
        <v>61</v>
      </c>
      <c r="G141" s="6" t="s">
        <v>26</v>
      </c>
      <c r="H141" s="6" t="s">
        <v>57</v>
      </c>
      <c r="I141" s="7">
        <v>2210</v>
      </c>
      <c r="J141" s="7">
        <v>2210</v>
      </c>
      <c r="K141" s="8">
        <v>93.16</v>
      </c>
      <c r="L141" s="8">
        <v>92.65</v>
      </c>
      <c r="M141" s="8">
        <f t="shared" si="10"/>
        <v>205883.6</v>
      </c>
      <c r="N141" s="8">
        <f t="shared" si="10"/>
        <v>204756.5</v>
      </c>
      <c r="O141" s="8">
        <f t="shared" si="11"/>
        <v>1127.1000000000058</v>
      </c>
      <c r="P141" s="7">
        <f t="shared" si="12"/>
        <v>24</v>
      </c>
      <c r="Q141" s="9" t="str">
        <f t="shared" si="13"/>
        <v>Com Atraso</v>
      </c>
      <c r="R141" s="10" t="str">
        <f t="shared" si="14"/>
        <v>Completo</v>
      </c>
    </row>
    <row r="142" spans="1:18" x14ac:dyDescent="0.3">
      <c r="A142" s="4" t="s">
        <v>215</v>
      </c>
      <c r="B142" s="5">
        <v>45005</v>
      </c>
      <c r="C142" s="5">
        <v>45023</v>
      </c>
      <c r="D142" s="5">
        <v>45020</v>
      </c>
      <c r="E142" s="6" t="s">
        <v>44</v>
      </c>
      <c r="F142" s="6" t="s">
        <v>45</v>
      </c>
      <c r="G142" s="6" t="s">
        <v>21</v>
      </c>
      <c r="H142" s="6" t="s">
        <v>31</v>
      </c>
      <c r="I142" s="7">
        <v>1985</v>
      </c>
      <c r="J142" s="7">
        <v>1985</v>
      </c>
      <c r="K142" s="8">
        <v>151.97999999999999</v>
      </c>
      <c r="L142" s="8">
        <v>151.13999999999999</v>
      </c>
      <c r="M142" s="8">
        <f t="shared" si="10"/>
        <v>301680.3</v>
      </c>
      <c r="N142" s="8">
        <f t="shared" si="10"/>
        <v>300012.89999999997</v>
      </c>
      <c r="O142" s="8">
        <f t="shared" si="11"/>
        <v>1667.4000000000233</v>
      </c>
      <c r="P142" s="7">
        <f t="shared" si="12"/>
        <v>15</v>
      </c>
      <c r="Q142" s="9" t="str">
        <f t="shared" si="13"/>
        <v>No Prazo</v>
      </c>
      <c r="R142" s="10" t="str">
        <f t="shared" si="14"/>
        <v>Completo</v>
      </c>
    </row>
    <row r="143" spans="1:18" x14ac:dyDescent="0.3">
      <c r="A143" s="4" t="s">
        <v>216</v>
      </c>
      <c r="B143" s="5">
        <v>45005</v>
      </c>
      <c r="C143" s="5">
        <v>45024</v>
      </c>
      <c r="D143" s="5">
        <v>45028</v>
      </c>
      <c r="E143" s="6" t="s">
        <v>29</v>
      </c>
      <c r="F143" s="6" t="s">
        <v>113</v>
      </c>
      <c r="G143" s="6" t="s">
        <v>51</v>
      </c>
      <c r="H143" s="6" t="s">
        <v>42</v>
      </c>
      <c r="I143" s="7">
        <v>1565</v>
      </c>
      <c r="J143" s="7">
        <v>909</v>
      </c>
      <c r="K143" s="8">
        <v>371.36</v>
      </c>
      <c r="L143" s="8">
        <v>328.5</v>
      </c>
      <c r="M143" s="8">
        <f t="shared" si="10"/>
        <v>581178.4</v>
      </c>
      <c r="N143" s="8">
        <f t="shared" si="10"/>
        <v>298606.5</v>
      </c>
      <c r="O143" s="8">
        <f t="shared" si="11"/>
        <v>282571.90000000002</v>
      </c>
      <c r="P143" s="7">
        <f t="shared" si="12"/>
        <v>23</v>
      </c>
      <c r="Q143" s="9" t="str">
        <f t="shared" si="13"/>
        <v>Com Atraso</v>
      </c>
      <c r="R143" s="10" t="str">
        <f t="shared" si="14"/>
        <v>Incompleto</v>
      </c>
    </row>
    <row r="144" spans="1:18" x14ac:dyDescent="0.3">
      <c r="A144" s="4" t="s">
        <v>217</v>
      </c>
      <c r="B144" s="5">
        <v>45011</v>
      </c>
      <c r="C144" s="5">
        <v>45029</v>
      </c>
      <c r="D144" s="5">
        <v>45036</v>
      </c>
      <c r="E144" s="6" t="s">
        <v>24</v>
      </c>
      <c r="F144" s="6" t="s">
        <v>218</v>
      </c>
      <c r="G144" s="6" t="s">
        <v>21</v>
      </c>
      <c r="H144" s="6" t="s">
        <v>53</v>
      </c>
      <c r="I144" s="7">
        <v>405</v>
      </c>
      <c r="J144" s="7">
        <v>405</v>
      </c>
      <c r="K144" s="8">
        <v>274.94</v>
      </c>
      <c r="L144" s="8">
        <v>254.23</v>
      </c>
      <c r="M144" s="8">
        <f t="shared" si="10"/>
        <v>111350.7</v>
      </c>
      <c r="N144" s="8">
        <f t="shared" si="10"/>
        <v>102963.15</v>
      </c>
      <c r="O144" s="8">
        <f t="shared" si="11"/>
        <v>8387.5500000000029</v>
      </c>
      <c r="P144" s="7">
        <f t="shared" si="12"/>
        <v>25</v>
      </c>
      <c r="Q144" s="9" t="str">
        <f t="shared" si="13"/>
        <v>Com Atraso</v>
      </c>
      <c r="R144" s="10" t="str">
        <f t="shared" si="14"/>
        <v>Completo</v>
      </c>
    </row>
    <row r="145" spans="1:18" x14ac:dyDescent="0.3">
      <c r="A145" s="4" t="s">
        <v>219</v>
      </c>
      <c r="B145" s="5">
        <v>45017</v>
      </c>
      <c r="C145" s="5">
        <v>45032</v>
      </c>
      <c r="D145" s="5">
        <v>45034</v>
      </c>
      <c r="E145" s="6" t="s">
        <v>29</v>
      </c>
      <c r="F145" s="6" t="s">
        <v>30</v>
      </c>
      <c r="G145" s="6" t="s">
        <v>34</v>
      </c>
      <c r="H145" s="6" t="s">
        <v>53</v>
      </c>
      <c r="I145" s="7">
        <v>945</v>
      </c>
      <c r="J145" s="7">
        <v>945</v>
      </c>
      <c r="K145" s="8">
        <v>199.35</v>
      </c>
      <c r="L145" s="8">
        <v>208.68</v>
      </c>
      <c r="M145" s="8">
        <f t="shared" si="10"/>
        <v>188385.75</v>
      </c>
      <c r="N145" s="8">
        <f t="shared" si="10"/>
        <v>197202.6</v>
      </c>
      <c r="O145" s="8">
        <f t="shared" si="11"/>
        <v>-8816.8500000000058</v>
      </c>
      <c r="P145" s="7">
        <f t="shared" si="12"/>
        <v>17</v>
      </c>
      <c r="Q145" s="9" t="str">
        <f t="shared" si="13"/>
        <v>Com Atraso</v>
      </c>
      <c r="R145" s="10" t="str">
        <f t="shared" si="14"/>
        <v>Completo</v>
      </c>
    </row>
    <row r="146" spans="1:18" x14ac:dyDescent="0.3">
      <c r="A146" s="4" t="s">
        <v>220</v>
      </c>
      <c r="B146" s="5">
        <v>45021</v>
      </c>
      <c r="C146" s="5">
        <v>45035</v>
      </c>
      <c r="D146" s="5">
        <v>45032</v>
      </c>
      <c r="E146" s="6" t="s">
        <v>19</v>
      </c>
      <c r="F146" s="6" t="s">
        <v>73</v>
      </c>
      <c r="G146" s="6" t="s">
        <v>51</v>
      </c>
      <c r="H146" s="6" t="s">
        <v>27</v>
      </c>
      <c r="I146" s="7">
        <v>1805</v>
      </c>
      <c r="J146" s="7">
        <v>1805</v>
      </c>
      <c r="K146" s="8">
        <v>82.25</v>
      </c>
      <c r="L146" s="8">
        <v>80.25</v>
      </c>
      <c r="M146" s="8">
        <f t="shared" si="10"/>
        <v>148461.25</v>
      </c>
      <c r="N146" s="8">
        <f t="shared" si="10"/>
        <v>144851.25</v>
      </c>
      <c r="O146" s="8">
        <f t="shared" si="11"/>
        <v>3610</v>
      </c>
      <c r="P146" s="7">
        <f t="shared" si="12"/>
        <v>11</v>
      </c>
      <c r="Q146" s="9" t="str">
        <f t="shared" si="13"/>
        <v>No Prazo</v>
      </c>
      <c r="R146" s="10" t="str">
        <f t="shared" si="14"/>
        <v>Completo</v>
      </c>
    </row>
    <row r="147" spans="1:18" x14ac:dyDescent="0.3">
      <c r="A147" s="4" t="s">
        <v>221</v>
      </c>
      <c r="B147" s="5">
        <v>45036</v>
      </c>
      <c r="C147" s="5">
        <v>45052</v>
      </c>
      <c r="D147" s="5">
        <v>45050</v>
      </c>
      <c r="E147" s="6" t="s">
        <v>29</v>
      </c>
      <c r="F147" s="6" t="s">
        <v>113</v>
      </c>
      <c r="G147" s="6" t="s">
        <v>26</v>
      </c>
      <c r="H147" s="6" t="s">
        <v>42</v>
      </c>
      <c r="I147" s="7">
        <v>1185</v>
      </c>
      <c r="J147" s="7">
        <v>1185</v>
      </c>
      <c r="K147" s="8">
        <v>122.88</v>
      </c>
      <c r="L147" s="8">
        <v>115.71</v>
      </c>
      <c r="M147" s="8">
        <f t="shared" si="10"/>
        <v>145612.79999999999</v>
      </c>
      <c r="N147" s="8">
        <f t="shared" si="10"/>
        <v>137116.35</v>
      </c>
      <c r="O147" s="8">
        <f t="shared" si="11"/>
        <v>8496.4499999999825</v>
      </c>
      <c r="P147" s="7">
        <f t="shared" si="12"/>
        <v>14</v>
      </c>
      <c r="Q147" s="9" t="str">
        <f t="shared" si="13"/>
        <v>No Prazo</v>
      </c>
      <c r="R147" s="10" t="str">
        <f t="shared" si="14"/>
        <v>Completo</v>
      </c>
    </row>
    <row r="148" spans="1:18" x14ac:dyDescent="0.3">
      <c r="A148" s="4" t="s">
        <v>222</v>
      </c>
      <c r="B148" s="5">
        <v>45045</v>
      </c>
      <c r="C148" s="5">
        <v>45055</v>
      </c>
      <c r="D148" s="5">
        <v>45051</v>
      </c>
      <c r="E148" s="6" t="s">
        <v>37</v>
      </c>
      <c r="F148" s="6" t="s">
        <v>38</v>
      </c>
      <c r="G148" s="6" t="s">
        <v>26</v>
      </c>
      <c r="H148" s="6" t="s">
        <v>39</v>
      </c>
      <c r="I148" s="7">
        <v>2100</v>
      </c>
      <c r="J148" s="7">
        <v>2100</v>
      </c>
      <c r="K148" s="8">
        <v>356.14</v>
      </c>
      <c r="L148" s="8">
        <v>328.43</v>
      </c>
      <c r="M148" s="8">
        <f t="shared" si="10"/>
        <v>747894</v>
      </c>
      <c r="N148" s="8">
        <f t="shared" si="10"/>
        <v>689703</v>
      </c>
      <c r="O148" s="8">
        <f t="shared" si="11"/>
        <v>58191</v>
      </c>
      <c r="P148" s="7">
        <f t="shared" si="12"/>
        <v>6</v>
      </c>
      <c r="Q148" s="9" t="str">
        <f t="shared" si="13"/>
        <v>No Prazo</v>
      </c>
      <c r="R148" s="10" t="str">
        <f t="shared" si="14"/>
        <v>Completo</v>
      </c>
    </row>
    <row r="149" spans="1:18" x14ac:dyDescent="0.3">
      <c r="A149" s="4" t="s">
        <v>223</v>
      </c>
      <c r="B149" s="5">
        <v>45046</v>
      </c>
      <c r="C149" s="5">
        <v>45065</v>
      </c>
      <c r="D149" s="5">
        <v>45067</v>
      </c>
      <c r="E149" s="6" t="s">
        <v>19</v>
      </c>
      <c r="F149" s="6" t="s">
        <v>50</v>
      </c>
      <c r="G149" s="6" t="s">
        <v>51</v>
      </c>
      <c r="H149" s="6" t="s">
        <v>22</v>
      </c>
      <c r="I149" s="7">
        <v>1040</v>
      </c>
      <c r="J149" s="7">
        <v>1040</v>
      </c>
      <c r="K149" s="8">
        <v>107.56</v>
      </c>
      <c r="L149" s="8">
        <v>106.48</v>
      </c>
      <c r="M149" s="8">
        <f t="shared" si="10"/>
        <v>111862.40000000001</v>
      </c>
      <c r="N149" s="8">
        <f t="shared" si="10"/>
        <v>110739.2</v>
      </c>
      <c r="O149" s="8">
        <f t="shared" si="11"/>
        <v>1123.2000000000116</v>
      </c>
      <c r="P149" s="7">
        <f t="shared" si="12"/>
        <v>21</v>
      </c>
      <c r="Q149" s="9" t="str">
        <f t="shared" si="13"/>
        <v>Com Atraso</v>
      </c>
      <c r="R149" s="10" t="str">
        <f t="shared" si="14"/>
        <v>Completo</v>
      </c>
    </row>
    <row r="150" spans="1:18" x14ac:dyDescent="0.3">
      <c r="A150" s="4" t="s">
        <v>224</v>
      </c>
      <c r="B150" s="5">
        <v>45049</v>
      </c>
      <c r="C150" s="5">
        <v>45069</v>
      </c>
      <c r="D150" s="5">
        <v>45067</v>
      </c>
      <c r="E150" s="6" t="s">
        <v>29</v>
      </c>
      <c r="F150" s="6" t="s">
        <v>92</v>
      </c>
      <c r="G150" s="6" t="s">
        <v>51</v>
      </c>
      <c r="H150" s="6" t="s">
        <v>81</v>
      </c>
      <c r="I150" s="7">
        <v>930</v>
      </c>
      <c r="J150" s="7">
        <v>930</v>
      </c>
      <c r="K150" s="8">
        <v>144.91999999999999</v>
      </c>
      <c r="L150" s="8">
        <v>144.25</v>
      </c>
      <c r="M150" s="8">
        <f t="shared" si="10"/>
        <v>134775.59999999998</v>
      </c>
      <c r="N150" s="8">
        <f t="shared" si="10"/>
        <v>134152.5</v>
      </c>
      <c r="O150" s="8">
        <f t="shared" si="11"/>
        <v>623.09999999997672</v>
      </c>
      <c r="P150" s="7">
        <f t="shared" si="12"/>
        <v>18</v>
      </c>
      <c r="Q150" s="9" t="str">
        <f t="shared" si="13"/>
        <v>No Prazo</v>
      </c>
      <c r="R150" s="10" t="str">
        <f t="shared" si="14"/>
        <v>Completo</v>
      </c>
    </row>
    <row r="151" spans="1:18" x14ac:dyDescent="0.3">
      <c r="A151" s="4" t="s">
        <v>225</v>
      </c>
      <c r="B151" s="5">
        <v>45052</v>
      </c>
      <c r="C151" s="5">
        <v>45072</v>
      </c>
      <c r="D151" s="5">
        <v>45068</v>
      </c>
      <c r="E151" s="6" t="s">
        <v>24</v>
      </c>
      <c r="F151" s="6" t="s">
        <v>86</v>
      </c>
      <c r="G151" s="6" t="s">
        <v>26</v>
      </c>
      <c r="H151" s="6" t="s">
        <v>39</v>
      </c>
      <c r="I151" s="7">
        <v>850</v>
      </c>
      <c r="J151" s="7">
        <v>850</v>
      </c>
      <c r="K151" s="8">
        <v>187.49</v>
      </c>
      <c r="L151" s="8">
        <v>169.86</v>
      </c>
      <c r="M151" s="8">
        <f t="shared" si="10"/>
        <v>159366.5</v>
      </c>
      <c r="N151" s="8">
        <f t="shared" si="10"/>
        <v>144381</v>
      </c>
      <c r="O151" s="8">
        <f t="shared" si="11"/>
        <v>14985.5</v>
      </c>
      <c r="P151" s="7">
        <f t="shared" si="12"/>
        <v>16</v>
      </c>
      <c r="Q151" s="9" t="str">
        <f t="shared" si="13"/>
        <v>No Prazo</v>
      </c>
      <c r="R151" s="10" t="str">
        <f t="shared" si="14"/>
        <v>Completo</v>
      </c>
    </row>
    <row r="152" spans="1:18" x14ac:dyDescent="0.3">
      <c r="A152" s="4" t="s">
        <v>226</v>
      </c>
      <c r="B152" s="5">
        <v>45068</v>
      </c>
      <c r="C152" s="5">
        <v>45076</v>
      </c>
      <c r="D152" s="5">
        <v>45073</v>
      </c>
      <c r="E152" s="6" t="s">
        <v>19</v>
      </c>
      <c r="F152" s="6" t="s">
        <v>20</v>
      </c>
      <c r="G152" s="6" t="s">
        <v>34</v>
      </c>
      <c r="H152" s="6" t="s">
        <v>27</v>
      </c>
      <c r="I152" s="7">
        <v>1720</v>
      </c>
      <c r="J152" s="7">
        <v>936</v>
      </c>
      <c r="K152" s="8">
        <v>200.73</v>
      </c>
      <c r="L152" s="8">
        <v>188.22</v>
      </c>
      <c r="M152" s="8">
        <f t="shared" si="10"/>
        <v>345255.6</v>
      </c>
      <c r="N152" s="8">
        <f t="shared" si="10"/>
        <v>176173.92</v>
      </c>
      <c r="O152" s="8">
        <f t="shared" si="11"/>
        <v>169081.67999999996</v>
      </c>
      <c r="P152" s="7">
        <f t="shared" si="12"/>
        <v>5</v>
      </c>
      <c r="Q152" s="9" t="str">
        <f t="shared" si="13"/>
        <v>No Prazo</v>
      </c>
      <c r="R152" s="10" t="str">
        <f t="shared" si="14"/>
        <v>Incompleto</v>
      </c>
    </row>
    <row r="153" spans="1:18" x14ac:dyDescent="0.3">
      <c r="A153" s="4" t="s">
        <v>227</v>
      </c>
      <c r="B153" s="5">
        <v>45079</v>
      </c>
      <c r="C153" s="5">
        <v>45092</v>
      </c>
      <c r="D153" s="5">
        <v>45089</v>
      </c>
      <c r="E153" s="6" t="s">
        <v>29</v>
      </c>
      <c r="F153" s="6" t="s">
        <v>33</v>
      </c>
      <c r="G153" s="6" t="s">
        <v>51</v>
      </c>
      <c r="H153" s="6" t="s">
        <v>31</v>
      </c>
      <c r="I153" s="7">
        <v>1610</v>
      </c>
      <c r="J153" s="7">
        <v>876</v>
      </c>
      <c r="K153" s="8">
        <v>369.08</v>
      </c>
      <c r="L153" s="8">
        <v>364.04</v>
      </c>
      <c r="M153" s="8">
        <f t="shared" si="10"/>
        <v>594218.79999999993</v>
      </c>
      <c r="N153" s="8">
        <f t="shared" si="10"/>
        <v>318899.04000000004</v>
      </c>
      <c r="O153" s="8">
        <f t="shared" si="11"/>
        <v>275319.75999999989</v>
      </c>
      <c r="P153" s="7">
        <f t="shared" si="12"/>
        <v>10</v>
      </c>
      <c r="Q153" s="9" t="str">
        <f t="shared" si="13"/>
        <v>No Prazo</v>
      </c>
      <c r="R153" s="10" t="str">
        <f t="shared" si="14"/>
        <v>Incompleto</v>
      </c>
    </row>
    <row r="154" spans="1:18" x14ac:dyDescent="0.3">
      <c r="A154" s="4" t="s">
        <v>228</v>
      </c>
      <c r="B154" s="5">
        <v>45082</v>
      </c>
      <c r="C154" s="5">
        <v>45097</v>
      </c>
      <c r="D154" s="5">
        <v>45104</v>
      </c>
      <c r="E154" s="6" t="s">
        <v>37</v>
      </c>
      <c r="F154" s="6" t="s">
        <v>156</v>
      </c>
      <c r="G154" s="6" t="s">
        <v>51</v>
      </c>
      <c r="H154" s="6" t="s">
        <v>48</v>
      </c>
      <c r="I154" s="7">
        <v>2265</v>
      </c>
      <c r="J154" s="7">
        <v>2265</v>
      </c>
      <c r="K154" s="8">
        <v>223.6</v>
      </c>
      <c r="L154" s="8">
        <v>205.45</v>
      </c>
      <c r="M154" s="8">
        <f t="shared" si="10"/>
        <v>506454</v>
      </c>
      <c r="N154" s="8">
        <f t="shared" si="10"/>
        <v>465344.25</v>
      </c>
      <c r="O154" s="8">
        <f t="shared" si="11"/>
        <v>41109.75</v>
      </c>
      <c r="P154" s="7">
        <f t="shared" si="12"/>
        <v>22</v>
      </c>
      <c r="Q154" s="9" t="str">
        <f t="shared" si="13"/>
        <v>Com Atraso</v>
      </c>
      <c r="R154" s="10" t="str">
        <f t="shared" si="14"/>
        <v>Completo</v>
      </c>
    </row>
    <row r="155" spans="1:18" x14ac:dyDescent="0.3">
      <c r="A155" s="4" t="s">
        <v>229</v>
      </c>
      <c r="B155" s="5">
        <v>45087</v>
      </c>
      <c r="C155" s="5">
        <v>45099</v>
      </c>
      <c r="D155" s="5">
        <v>45099</v>
      </c>
      <c r="E155" s="6" t="s">
        <v>44</v>
      </c>
      <c r="F155" s="6" t="s">
        <v>61</v>
      </c>
      <c r="G155" s="6" t="s">
        <v>34</v>
      </c>
      <c r="H155" s="6" t="s">
        <v>59</v>
      </c>
      <c r="I155" s="7">
        <v>440</v>
      </c>
      <c r="J155" s="7">
        <v>440</v>
      </c>
      <c r="K155" s="8">
        <v>88.22</v>
      </c>
      <c r="L155" s="8">
        <v>91.65</v>
      </c>
      <c r="M155" s="8">
        <f t="shared" si="10"/>
        <v>38816.800000000003</v>
      </c>
      <c r="N155" s="8">
        <f t="shared" si="10"/>
        <v>40326</v>
      </c>
      <c r="O155" s="8">
        <f t="shared" si="11"/>
        <v>-1509.1999999999971</v>
      </c>
      <c r="P155" s="7">
        <f t="shared" si="12"/>
        <v>12</v>
      </c>
      <c r="Q155" s="9" t="str">
        <f t="shared" si="13"/>
        <v>No Prazo</v>
      </c>
      <c r="R155" s="10" t="str">
        <f t="shared" si="14"/>
        <v>Completo</v>
      </c>
    </row>
    <row r="156" spans="1:18" x14ac:dyDescent="0.3">
      <c r="A156" s="4" t="s">
        <v>230</v>
      </c>
      <c r="B156" s="5">
        <v>45094</v>
      </c>
      <c r="C156" s="5">
        <v>45108</v>
      </c>
      <c r="D156" s="5">
        <v>45104</v>
      </c>
      <c r="E156" s="6" t="s">
        <v>37</v>
      </c>
      <c r="F156" s="6" t="s">
        <v>231</v>
      </c>
      <c r="G156" s="6" t="s">
        <v>34</v>
      </c>
      <c r="H156" s="6" t="s">
        <v>57</v>
      </c>
      <c r="I156" s="7">
        <v>1520</v>
      </c>
      <c r="J156" s="7">
        <v>1520</v>
      </c>
      <c r="K156" s="8">
        <v>201.57</v>
      </c>
      <c r="L156" s="8">
        <v>199.32</v>
      </c>
      <c r="M156" s="8">
        <f t="shared" si="10"/>
        <v>306386.39999999997</v>
      </c>
      <c r="N156" s="8">
        <f t="shared" si="10"/>
        <v>302966.39999999997</v>
      </c>
      <c r="O156" s="8">
        <f t="shared" si="11"/>
        <v>3420</v>
      </c>
      <c r="P156" s="7">
        <f t="shared" si="12"/>
        <v>10</v>
      </c>
      <c r="Q156" s="9" t="str">
        <f t="shared" si="13"/>
        <v>No Prazo</v>
      </c>
      <c r="R156" s="10" t="str">
        <f t="shared" si="14"/>
        <v>Completo</v>
      </c>
    </row>
    <row r="157" spans="1:18" x14ac:dyDescent="0.3">
      <c r="A157" s="4" t="s">
        <v>232</v>
      </c>
      <c r="B157" s="5">
        <v>45098</v>
      </c>
      <c r="C157" s="5">
        <v>45107</v>
      </c>
      <c r="D157" s="5">
        <v>45106</v>
      </c>
      <c r="E157" s="6" t="s">
        <v>66</v>
      </c>
      <c r="F157" s="6" t="s">
        <v>100</v>
      </c>
      <c r="G157" s="6" t="s">
        <v>34</v>
      </c>
      <c r="H157" s="6" t="s">
        <v>39</v>
      </c>
      <c r="I157" s="7">
        <v>1770</v>
      </c>
      <c r="J157" s="7">
        <v>1770</v>
      </c>
      <c r="K157" s="8">
        <v>308.58</v>
      </c>
      <c r="L157" s="8">
        <v>284.25</v>
      </c>
      <c r="M157" s="8">
        <f t="shared" si="10"/>
        <v>546186.6</v>
      </c>
      <c r="N157" s="8">
        <f t="shared" si="10"/>
        <v>503122.5</v>
      </c>
      <c r="O157" s="8">
        <f t="shared" si="11"/>
        <v>43064.099999999977</v>
      </c>
      <c r="P157" s="7">
        <f t="shared" si="12"/>
        <v>8</v>
      </c>
      <c r="Q157" s="9" t="str">
        <f t="shared" si="13"/>
        <v>No Prazo</v>
      </c>
      <c r="R157" s="10" t="str">
        <f t="shared" si="14"/>
        <v>Completo</v>
      </c>
    </row>
    <row r="158" spans="1:18" x14ac:dyDescent="0.3">
      <c r="A158" s="4" t="s">
        <v>233</v>
      </c>
      <c r="B158" s="5">
        <v>45099</v>
      </c>
      <c r="C158" s="5">
        <v>45114</v>
      </c>
      <c r="D158" s="5">
        <v>45112</v>
      </c>
      <c r="E158" s="6" t="s">
        <v>55</v>
      </c>
      <c r="F158" s="6" t="s">
        <v>150</v>
      </c>
      <c r="G158" s="6" t="s">
        <v>21</v>
      </c>
      <c r="H158" s="6" t="s">
        <v>31</v>
      </c>
      <c r="I158" s="7">
        <v>405</v>
      </c>
      <c r="J158" s="7">
        <v>405</v>
      </c>
      <c r="K158" s="8">
        <v>147.72999999999999</v>
      </c>
      <c r="L158" s="8">
        <v>150.49</v>
      </c>
      <c r="M158" s="8">
        <f t="shared" si="10"/>
        <v>59830.649999999994</v>
      </c>
      <c r="N158" s="8">
        <f t="shared" si="10"/>
        <v>60948.450000000004</v>
      </c>
      <c r="O158" s="8">
        <f t="shared" si="11"/>
        <v>-1117.8000000000102</v>
      </c>
      <c r="P158" s="7">
        <f t="shared" si="12"/>
        <v>13</v>
      </c>
      <c r="Q158" s="9" t="str">
        <f t="shared" si="13"/>
        <v>No Prazo</v>
      </c>
      <c r="R158" s="10" t="str">
        <f t="shared" si="14"/>
        <v>Completo</v>
      </c>
    </row>
    <row r="159" spans="1:18" x14ac:dyDescent="0.3">
      <c r="A159" s="4" t="s">
        <v>234</v>
      </c>
      <c r="B159" s="5">
        <v>45119</v>
      </c>
      <c r="C159" s="5">
        <v>45137</v>
      </c>
      <c r="D159" s="5">
        <v>45135</v>
      </c>
      <c r="E159" s="6" t="s">
        <v>44</v>
      </c>
      <c r="F159" s="6" t="s">
        <v>61</v>
      </c>
      <c r="G159" s="6" t="s">
        <v>34</v>
      </c>
      <c r="H159" s="6" t="s">
        <v>31</v>
      </c>
      <c r="I159" s="7">
        <v>705</v>
      </c>
      <c r="J159" s="7">
        <v>705</v>
      </c>
      <c r="K159" s="8">
        <v>82.4</v>
      </c>
      <c r="L159" s="8">
        <v>85.68</v>
      </c>
      <c r="M159" s="8">
        <f t="shared" si="10"/>
        <v>58092.000000000007</v>
      </c>
      <c r="N159" s="8">
        <f t="shared" si="10"/>
        <v>60404.4</v>
      </c>
      <c r="O159" s="8">
        <f t="shared" si="11"/>
        <v>-2312.3999999999942</v>
      </c>
      <c r="P159" s="7">
        <f t="shared" si="12"/>
        <v>16</v>
      </c>
      <c r="Q159" s="9" t="str">
        <f t="shared" si="13"/>
        <v>No Prazo</v>
      </c>
      <c r="R159" s="10" t="str">
        <f t="shared" si="14"/>
        <v>Completo</v>
      </c>
    </row>
    <row r="160" spans="1:18" x14ac:dyDescent="0.3">
      <c r="A160" s="4" t="s">
        <v>235</v>
      </c>
      <c r="B160" s="5">
        <v>45119</v>
      </c>
      <c r="C160" s="5">
        <v>45127</v>
      </c>
      <c r="D160" s="5">
        <v>45127</v>
      </c>
      <c r="E160" s="6" t="s">
        <v>66</v>
      </c>
      <c r="F160" s="6" t="s">
        <v>141</v>
      </c>
      <c r="G160" s="6" t="s">
        <v>64</v>
      </c>
      <c r="H160" s="6" t="s">
        <v>81</v>
      </c>
      <c r="I160" s="7">
        <v>1795</v>
      </c>
      <c r="J160" s="7">
        <v>1603</v>
      </c>
      <c r="K160" s="8">
        <v>74.67</v>
      </c>
      <c r="L160" s="8">
        <v>76.63</v>
      </c>
      <c r="M160" s="8">
        <f t="shared" si="10"/>
        <v>134032.65</v>
      </c>
      <c r="N160" s="8">
        <f t="shared" si="10"/>
        <v>122837.89</v>
      </c>
      <c r="O160" s="8">
        <f t="shared" si="11"/>
        <v>11194.759999999995</v>
      </c>
      <c r="P160" s="7">
        <f t="shared" si="12"/>
        <v>8</v>
      </c>
      <c r="Q160" s="9" t="str">
        <f t="shared" si="13"/>
        <v>No Prazo</v>
      </c>
      <c r="R160" s="10" t="str">
        <f t="shared" si="14"/>
        <v>Incompleto</v>
      </c>
    </row>
    <row r="161" spans="1:18" x14ac:dyDescent="0.3">
      <c r="A161" s="4" t="s">
        <v>236</v>
      </c>
      <c r="B161" s="5">
        <v>45122</v>
      </c>
      <c r="C161" s="5">
        <v>45136</v>
      </c>
      <c r="D161" s="5">
        <v>45134</v>
      </c>
      <c r="E161" s="6" t="s">
        <v>29</v>
      </c>
      <c r="F161" s="6" t="s">
        <v>92</v>
      </c>
      <c r="G161" s="6" t="s">
        <v>26</v>
      </c>
      <c r="H161" s="6" t="s">
        <v>59</v>
      </c>
      <c r="I161" s="7">
        <v>1290</v>
      </c>
      <c r="J161" s="7">
        <v>1290</v>
      </c>
      <c r="K161" s="8">
        <v>140.87</v>
      </c>
      <c r="L161" s="8">
        <v>125.82</v>
      </c>
      <c r="M161" s="8">
        <f t="shared" si="10"/>
        <v>181722.30000000002</v>
      </c>
      <c r="N161" s="8">
        <f t="shared" si="10"/>
        <v>162307.79999999999</v>
      </c>
      <c r="O161" s="8">
        <f t="shared" si="11"/>
        <v>19414.500000000029</v>
      </c>
      <c r="P161" s="7">
        <f t="shared" si="12"/>
        <v>12</v>
      </c>
      <c r="Q161" s="9" t="str">
        <f t="shared" si="13"/>
        <v>No Prazo</v>
      </c>
      <c r="R161" s="10" t="str">
        <f t="shared" si="14"/>
        <v>Completo</v>
      </c>
    </row>
    <row r="162" spans="1:18" x14ac:dyDescent="0.3">
      <c r="A162" s="4" t="s">
        <v>237</v>
      </c>
      <c r="B162" s="5">
        <v>45142</v>
      </c>
      <c r="C162" s="5">
        <v>45162</v>
      </c>
      <c r="D162" s="5">
        <v>45162</v>
      </c>
      <c r="E162" s="6" t="s">
        <v>24</v>
      </c>
      <c r="F162" s="6" t="s">
        <v>98</v>
      </c>
      <c r="G162" s="6" t="s">
        <v>64</v>
      </c>
      <c r="H162" s="6" t="s">
        <v>22</v>
      </c>
      <c r="I162" s="7">
        <v>1925</v>
      </c>
      <c r="J162" s="7">
        <v>1925</v>
      </c>
      <c r="K162" s="8">
        <v>316.58999999999997</v>
      </c>
      <c r="L162" s="8">
        <v>311.75</v>
      </c>
      <c r="M162" s="8">
        <f t="shared" si="10"/>
        <v>609435.75</v>
      </c>
      <c r="N162" s="8">
        <f t="shared" si="10"/>
        <v>600118.75</v>
      </c>
      <c r="O162" s="8">
        <f t="shared" si="11"/>
        <v>9317</v>
      </c>
      <c r="P162" s="7">
        <f t="shared" si="12"/>
        <v>20</v>
      </c>
      <c r="Q162" s="9" t="str">
        <f t="shared" si="13"/>
        <v>No Prazo</v>
      </c>
      <c r="R162" s="10" t="str">
        <f t="shared" si="14"/>
        <v>Completo</v>
      </c>
    </row>
    <row r="163" spans="1:18" x14ac:dyDescent="0.3">
      <c r="A163" s="4" t="s">
        <v>238</v>
      </c>
      <c r="B163" s="5">
        <v>45142</v>
      </c>
      <c r="C163" s="5">
        <v>45155</v>
      </c>
      <c r="D163" s="5">
        <v>45152</v>
      </c>
      <c r="E163" s="6" t="s">
        <v>44</v>
      </c>
      <c r="F163" s="6" t="s">
        <v>127</v>
      </c>
      <c r="G163" s="6" t="s">
        <v>51</v>
      </c>
      <c r="H163" s="6" t="s">
        <v>57</v>
      </c>
      <c r="I163" s="7">
        <v>1780</v>
      </c>
      <c r="J163" s="7">
        <v>1780</v>
      </c>
      <c r="K163" s="8">
        <v>349.53</v>
      </c>
      <c r="L163" s="8">
        <v>345.81</v>
      </c>
      <c r="M163" s="8">
        <f t="shared" si="10"/>
        <v>622163.39999999991</v>
      </c>
      <c r="N163" s="8">
        <f t="shared" si="10"/>
        <v>615541.80000000005</v>
      </c>
      <c r="O163" s="8">
        <f t="shared" si="11"/>
        <v>6621.5999999998603</v>
      </c>
      <c r="P163" s="7">
        <f t="shared" si="12"/>
        <v>10</v>
      </c>
      <c r="Q163" s="9" t="str">
        <f t="shared" si="13"/>
        <v>No Prazo</v>
      </c>
      <c r="R163" s="10" t="str">
        <f t="shared" si="14"/>
        <v>Completo</v>
      </c>
    </row>
    <row r="164" spans="1:18" x14ac:dyDescent="0.3">
      <c r="A164" s="4" t="s">
        <v>239</v>
      </c>
      <c r="B164" s="5">
        <v>45149</v>
      </c>
      <c r="C164" s="5">
        <v>45156</v>
      </c>
      <c r="D164" s="5">
        <v>45153</v>
      </c>
      <c r="E164" s="6" t="s">
        <v>66</v>
      </c>
      <c r="F164" s="6" t="s">
        <v>125</v>
      </c>
      <c r="G164" s="6" t="s">
        <v>51</v>
      </c>
      <c r="H164" s="6" t="s">
        <v>22</v>
      </c>
      <c r="I164" s="7">
        <v>930</v>
      </c>
      <c r="J164" s="7">
        <v>667</v>
      </c>
      <c r="K164" s="8">
        <v>150.61000000000001</v>
      </c>
      <c r="L164" s="8">
        <v>156.11000000000001</v>
      </c>
      <c r="M164" s="8">
        <f t="shared" si="10"/>
        <v>140067.30000000002</v>
      </c>
      <c r="N164" s="8">
        <f t="shared" si="10"/>
        <v>104125.37000000001</v>
      </c>
      <c r="O164" s="8">
        <f t="shared" si="11"/>
        <v>35941.930000000008</v>
      </c>
      <c r="P164" s="7">
        <f t="shared" si="12"/>
        <v>4</v>
      </c>
      <c r="Q164" s="9" t="str">
        <f t="shared" si="13"/>
        <v>No Prazo</v>
      </c>
      <c r="R164" s="10" t="str">
        <f t="shared" si="14"/>
        <v>Incompleto</v>
      </c>
    </row>
    <row r="165" spans="1:18" x14ac:dyDescent="0.3">
      <c r="A165" s="4" t="s">
        <v>240</v>
      </c>
      <c r="B165" s="5">
        <v>45151</v>
      </c>
      <c r="C165" s="5">
        <v>45166</v>
      </c>
      <c r="D165" s="5">
        <v>45162</v>
      </c>
      <c r="E165" s="6" t="s">
        <v>66</v>
      </c>
      <c r="F165" s="6" t="s">
        <v>125</v>
      </c>
      <c r="G165" s="6" t="s">
        <v>51</v>
      </c>
      <c r="H165" s="6" t="s">
        <v>35</v>
      </c>
      <c r="I165" s="7">
        <v>1790</v>
      </c>
      <c r="J165" s="7">
        <v>1349</v>
      </c>
      <c r="K165" s="8">
        <v>309.5</v>
      </c>
      <c r="L165" s="8">
        <v>305.22000000000003</v>
      </c>
      <c r="M165" s="8">
        <f t="shared" si="10"/>
        <v>554005</v>
      </c>
      <c r="N165" s="8">
        <f t="shared" si="10"/>
        <v>411741.78</v>
      </c>
      <c r="O165" s="8">
        <f t="shared" si="11"/>
        <v>142263.21999999997</v>
      </c>
      <c r="P165" s="7">
        <f t="shared" si="12"/>
        <v>11</v>
      </c>
      <c r="Q165" s="9" t="str">
        <f t="shared" si="13"/>
        <v>No Prazo</v>
      </c>
      <c r="R165" s="10" t="str">
        <f t="shared" si="14"/>
        <v>Incompleto</v>
      </c>
    </row>
    <row r="166" spans="1:18" x14ac:dyDescent="0.3">
      <c r="A166" s="4" t="s">
        <v>241</v>
      </c>
      <c r="B166" s="5">
        <v>45153</v>
      </c>
      <c r="C166" s="5">
        <v>45166</v>
      </c>
      <c r="D166" s="5">
        <v>45164</v>
      </c>
      <c r="E166" s="6" t="s">
        <v>29</v>
      </c>
      <c r="F166" s="6" t="s">
        <v>33</v>
      </c>
      <c r="G166" s="6" t="s">
        <v>21</v>
      </c>
      <c r="H166" s="6" t="s">
        <v>81</v>
      </c>
      <c r="I166" s="7">
        <v>1180</v>
      </c>
      <c r="J166" s="7">
        <v>1114</v>
      </c>
      <c r="K166" s="8">
        <v>152.35</v>
      </c>
      <c r="L166" s="8">
        <v>158.97999999999999</v>
      </c>
      <c r="M166" s="8">
        <f t="shared" si="10"/>
        <v>179773</v>
      </c>
      <c r="N166" s="8">
        <f t="shared" si="10"/>
        <v>177103.72</v>
      </c>
      <c r="O166" s="8">
        <f t="shared" si="11"/>
        <v>2669.2799999999988</v>
      </c>
      <c r="P166" s="7">
        <f t="shared" si="12"/>
        <v>11</v>
      </c>
      <c r="Q166" s="9" t="str">
        <f t="shared" si="13"/>
        <v>No Prazo</v>
      </c>
      <c r="R166" s="10" t="str">
        <f t="shared" si="14"/>
        <v>Incompleto</v>
      </c>
    </row>
    <row r="167" spans="1:18" x14ac:dyDescent="0.3">
      <c r="A167" s="4" t="s">
        <v>242</v>
      </c>
      <c r="B167" s="5">
        <v>45155</v>
      </c>
      <c r="C167" s="5">
        <v>45172</v>
      </c>
      <c r="D167" s="5">
        <v>45170</v>
      </c>
      <c r="E167" s="6" t="s">
        <v>19</v>
      </c>
      <c r="F167" s="6" t="s">
        <v>73</v>
      </c>
      <c r="G167" s="6" t="s">
        <v>21</v>
      </c>
      <c r="H167" s="6" t="s">
        <v>39</v>
      </c>
      <c r="I167" s="7">
        <v>1045</v>
      </c>
      <c r="J167" s="7">
        <v>797</v>
      </c>
      <c r="K167" s="8">
        <v>337.66</v>
      </c>
      <c r="L167" s="8">
        <v>346.32</v>
      </c>
      <c r="M167" s="8">
        <f t="shared" si="10"/>
        <v>352854.7</v>
      </c>
      <c r="N167" s="8">
        <f t="shared" si="10"/>
        <v>276017.03999999998</v>
      </c>
      <c r="O167" s="8">
        <f t="shared" si="11"/>
        <v>76837.660000000033</v>
      </c>
      <c r="P167" s="7">
        <f t="shared" si="12"/>
        <v>15</v>
      </c>
      <c r="Q167" s="9" t="str">
        <f t="shared" si="13"/>
        <v>No Prazo</v>
      </c>
      <c r="R167" s="10" t="str">
        <f t="shared" si="14"/>
        <v>Incompleto</v>
      </c>
    </row>
    <row r="168" spans="1:18" x14ac:dyDescent="0.3">
      <c r="A168" s="4" t="s">
        <v>243</v>
      </c>
      <c r="B168" s="5">
        <v>45161</v>
      </c>
      <c r="C168" s="5">
        <v>45167</v>
      </c>
      <c r="D168" s="5">
        <v>45165</v>
      </c>
      <c r="E168" s="6" t="s">
        <v>19</v>
      </c>
      <c r="F168" s="6" t="s">
        <v>47</v>
      </c>
      <c r="G168" s="6" t="s">
        <v>26</v>
      </c>
      <c r="H168" s="6" t="s">
        <v>88</v>
      </c>
      <c r="I168" s="7">
        <v>190</v>
      </c>
      <c r="J168" s="7">
        <v>190</v>
      </c>
      <c r="K168" s="8">
        <v>47.18</v>
      </c>
      <c r="L168" s="8">
        <v>45.22</v>
      </c>
      <c r="M168" s="8">
        <f t="shared" si="10"/>
        <v>8964.2000000000007</v>
      </c>
      <c r="N168" s="8">
        <f t="shared" si="10"/>
        <v>8591.7999999999993</v>
      </c>
      <c r="O168" s="8">
        <f t="shared" si="11"/>
        <v>372.40000000000146</v>
      </c>
      <c r="P168" s="7">
        <f t="shared" si="12"/>
        <v>4</v>
      </c>
      <c r="Q168" s="9" t="str">
        <f t="shared" si="13"/>
        <v>No Prazo</v>
      </c>
      <c r="R168" s="10" t="str">
        <f t="shared" si="14"/>
        <v>Completo</v>
      </c>
    </row>
    <row r="169" spans="1:18" x14ac:dyDescent="0.3">
      <c r="A169" s="4" t="s">
        <v>244</v>
      </c>
      <c r="B169" s="5">
        <v>45164</v>
      </c>
      <c r="C169" s="5">
        <v>45169</v>
      </c>
      <c r="D169" s="5">
        <v>45173</v>
      </c>
      <c r="E169" s="6" t="s">
        <v>37</v>
      </c>
      <c r="F169" s="6" t="s">
        <v>96</v>
      </c>
      <c r="G169" s="6" t="s">
        <v>34</v>
      </c>
      <c r="H169" s="6" t="s">
        <v>57</v>
      </c>
      <c r="I169" s="7">
        <v>620</v>
      </c>
      <c r="J169" s="7">
        <v>620</v>
      </c>
      <c r="K169" s="8">
        <v>377.73</v>
      </c>
      <c r="L169" s="8">
        <v>374.25</v>
      </c>
      <c r="M169" s="8">
        <f t="shared" si="10"/>
        <v>234192.6</v>
      </c>
      <c r="N169" s="8">
        <f t="shared" si="10"/>
        <v>232035</v>
      </c>
      <c r="O169" s="8">
        <f t="shared" si="11"/>
        <v>2157.6000000000058</v>
      </c>
      <c r="P169" s="7">
        <f t="shared" si="12"/>
        <v>9</v>
      </c>
      <c r="Q169" s="9" t="str">
        <f t="shared" si="13"/>
        <v>Com Atraso</v>
      </c>
      <c r="R169" s="10" t="str">
        <f t="shared" si="14"/>
        <v>Completo</v>
      </c>
    </row>
    <row r="170" spans="1:18" x14ac:dyDescent="0.3">
      <c r="A170" s="4" t="s">
        <v>245</v>
      </c>
      <c r="B170" s="5">
        <v>45164</v>
      </c>
      <c r="C170" s="5">
        <v>45184</v>
      </c>
      <c r="D170" s="5">
        <v>45182</v>
      </c>
      <c r="E170" s="6" t="s">
        <v>44</v>
      </c>
      <c r="F170" s="6" t="s">
        <v>69</v>
      </c>
      <c r="G170" s="6" t="s">
        <v>26</v>
      </c>
      <c r="H170" s="6" t="s">
        <v>22</v>
      </c>
      <c r="I170" s="7">
        <v>1545</v>
      </c>
      <c r="J170" s="7">
        <v>1545</v>
      </c>
      <c r="K170" s="8">
        <v>393.16</v>
      </c>
      <c r="L170" s="8">
        <v>410.75</v>
      </c>
      <c r="M170" s="8">
        <f t="shared" si="10"/>
        <v>607432.20000000007</v>
      </c>
      <c r="N170" s="8">
        <f t="shared" si="10"/>
        <v>634608.75</v>
      </c>
      <c r="O170" s="8">
        <f t="shared" si="11"/>
        <v>-27176.54999999993</v>
      </c>
      <c r="P170" s="7">
        <f t="shared" si="12"/>
        <v>18</v>
      </c>
      <c r="Q170" s="9" t="str">
        <f t="shared" si="13"/>
        <v>No Prazo</v>
      </c>
      <c r="R170" s="10" t="str">
        <f t="shared" si="14"/>
        <v>Completo</v>
      </c>
    </row>
    <row r="171" spans="1:18" x14ac:dyDescent="0.3">
      <c r="A171" s="4" t="s">
        <v>246</v>
      </c>
      <c r="B171" s="5">
        <v>45166</v>
      </c>
      <c r="C171" s="5">
        <v>45185</v>
      </c>
      <c r="D171" s="5">
        <v>45190</v>
      </c>
      <c r="E171" s="6" t="s">
        <v>37</v>
      </c>
      <c r="F171" s="6" t="s">
        <v>96</v>
      </c>
      <c r="G171" s="6" t="s">
        <v>51</v>
      </c>
      <c r="H171" s="6" t="s">
        <v>57</v>
      </c>
      <c r="I171" s="7">
        <v>2390</v>
      </c>
      <c r="J171" s="7">
        <v>2390</v>
      </c>
      <c r="K171" s="8">
        <v>315.27999999999997</v>
      </c>
      <c r="L171" s="8">
        <v>311.5</v>
      </c>
      <c r="M171" s="8">
        <f t="shared" si="10"/>
        <v>753519.2</v>
      </c>
      <c r="N171" s="8">
        <f t="shared" si="10"/>
        <v>744485</v>
      </c>
      <c r="O171" s="8">
        <f t="shared" si="11"/>
        <v>9034.1999999999534</v>
      </c>
      <c r="P171" s="7">
        <f t="shared" si="12"/>
        <v>24</v>
      </c>
      <c r="Q171" s="9" t="str">
        <f t="shared" si="13"/>
        <v>Com Atraso</v>
      </c>
      <c r="R171" s="10" t="str">
        <f t="shared" si="14"/>
        <v>Completo</v>
      </c>
    </row>
    <row r="172" spans="1:18" x14ac:dyDescent="0.3">
      <c r="A172" s="4" t="s">
        <v>247</v>
      </c>
      <c r="B172" s="5">
        <v>45166</v>
      </c>
      <c r="C172" s="5">
        <v>45183</v>
      </c>
      <c r="D172" s="5">
        <v>45180</v>
      </c>
      <c r="E172" s="6" t="s">
        <v>66</v>
      </c>
      <c r="F172" s="6" t="s">
        <v>71</v>
      </c>
      <c r="G172" s="6" t="s">
        <v>21</v>
      </c>
      <c r="H172" s="6" t="s">
        <v>59</v>
      </c>
      <c r="I172" s="7">
        <v>580</v>
      </c>
      <c r="J172" s="7">
        <v>580</v>
      </c>
      <c r="K172" s="8">
        <v>479.12</v>
      </c>
      <c r="L172" s="8">
        <v>460.59</v>
      </c>
      <c r="M172" s="8">
        <f t="shared" si="10"/>
        <v>277889.59999999998</v>
      </c>
      <c r="N172" s="8">
        <f t="shared" si="10"/>
        <v>267142.2</v>
      </c>
      <c r="O172" s="8">
        <f t="shared" si="11"/>
        <v>10747.399999999965</v>
      </c>
      <c r="P172" s="7">
        <f t="shared" si="12"/>
        <v>14</v>
      </c>
      <c r="Q172" s="9" t="str">
        <f t="shared" si="13"/>
        <v>No Prazo</v>
      </c>
      <c r="R172" s="10" t="str">
        <f t="shared" si="14"/>
        <v>Completo</v>
      </c>
    </row>
    <row r="173" spans="1:18" x14ac:dyDescent="0.3">
      <c r="A173" s="4" t="s">
        <v>248</v>
      </c>
      <c r="B173" s="5">
        <v>45173</v>
      </c>
      <c r="C173" s="5">
        <v>45178</v>
      </c>
      <c r="D173" s="5">
        <v>45176</v>
      </c>
      <c r="E173" s="6" t="s">
        <v>66</v>
      </c>
      <c r="F173" s="6" t="s">
        <v>71</v>
      </c>
      <c r="G173" s="6" t="s">
        <v>26</v>
      </c>
      <c r="H173" s="6" t="s">
        <v>57</v>
      </c>
      <c r="I173" s="7">
        <v>1770</v>
      </c>
      <c r="J173" s="7">
        <v>1770</v>
      </c>
      <c r="K173" s="8">
        <v>207.23</v>
      </c>
      <c r="L173" s="8">
        <v>193.2</v>
      </c>
      <c r="M173" s="8">
        <f t="shared" si="10"/>
        <v>366797.1</v>
      </c>
      <c r="N173" s="8">
        <f t="shared" si="10"/>
        <v>341964</v>
      </c>
      <c r="O173" s="8">
        <f t="shared" si="11"/>
        <v>24833.099999999977</v>
      </c>
      <c r="P173" s="7">
        <f t="shared" si="12"/>
        <v>3</v>
      </c>
      <c r="Q173" s="9" t="str">
        <f t="shared" si="13"/>
        <v>No Prazo</v>
      </c>
      <c r="R173" s="10" t="str">
        <f t="shared" si="14"/>
        <v>Completo</v>
      </c>
    </row>
    <row r="174" spans="1:18" x14ac:dyDescent="0.3">
      <c r="A174" s="4" t="s">
        <v>249</v>
      </c>
      <c r="B174" s="5">
        <v>45178</v>
      </c>
      <c r="C174" s="5">
        <v>45190</v>
      </c>
      <c r="D174" s="5">
        <v>45186</v>
      </c>
      <c r="E174" s="6" t="s">
        <v>24</v>
      </c>
      <c r="F174" s="6" t="s">
        <v>98</v>
      </c>
      <c r="G174" s="6" t="s">
        <v>26</v>
      </c>
      <c r="H174" s="6" t="s">
        <v>57</v>
      </c>
      <c r="I174" s="7">
        <v>780</v>
      </c>
      <c r="J174" s="7">
        <v>780</v>
      </c>
      <c r="K174" s="8">
        <v>436.96</v>
      </c>
      <c r="L174" s="8">
        <v>391.17</v>
      </c>
      <c r="M174" s="8">
        <f t="shared" si="10"/>
        <v>340828.8</v>
      </c>
      <c r="N174" s="8">
        <f t="shared" si="10"/>
        <v>305112.60000000003</v>
      </c>
      <c r="O174" s="8">
        <f t="shared" si="11"/>
        <v>35716.199999999953</v>
      </c>
      <c r="P174" s="7">
        <f t="shared" si="12"/>
        <v>8</v>
      </c>
      <c r="Q174" s="9" t="str">
        <f t="shared" si="13"/>
        <v>No Prazo</v>
      </c>
      <c r="R174" s="10" t="str">
        <f t="shared" si="14"/>
        <v>Completo</v>
      </c>
    </row>
    <row r="175" spans="1:18" x14ac:dyDescent="0.3">
      <c r="A175" s="4" t="s">
        <v>250</v>
      </c>
      <c r="B175" s="5">
        <v>45181</v>
      </c>
      <c r="C175" s="5">
        <v>45200</v>
      </c>
      <c r="D175" s="5">
        <v>45198</v>
      </c>
      <c r="E175" s="6" t="s">
        <v>55</v>
      </c>
      <c r="F175" s="6" t="s">
        <v>150</v>
      </c>
      <c r="G175" s="6" t="s">
        <v>21</v>
      </c>
      <c r="H175" s="6" t="s">
        <v>39</v>
      </c>
      <c r="I175" s="7">
        <v>2390</v>
      </c>
      <c r="J175" s="7">
        <v>2390</v>
      </c>
      <c r="K175" s="8">
        <v>162.86000000000001</v>
      </c>
      <c r="L175" s="8">
        <v>151.15</v>
      </c>
      <c r="M175" s="8">
        <f t="shared" si="10"/>
        <v>389235.4</v>
      </c>
      <c r="N175" s="8">
        <f t="shared" si="10"/>
        <v>361248.5</v>
      </c>
      <c r="O175" s="8">
        <f t="shared" si="11"/>
        <v>27986.900000000023</v>
      </c>
      <c r="P175" s="7">
        <f t="shared" si="12"/>
        <v>17</v>
      </c>
      <c r="Q175" s="9" t="str">
        <f t="shared" si="13"/>
        <v>No Prazo</v>
      </c>
      <c r="R175" s="10" t="str">
        <f t="shared" si="14"/>
        <v>Completo</v>
      </c>
    </row>
    <row r="176" spans="1:18" x14ac:dyDescent="0.3">
      <c r="A176" s="4" t="s">
        <v>251</v>
      </c>
      <c r="B176" s="5">
        <v>45192</v>
      </c>
      <c r="C176" s="5">
        <v>45208</v>
      </c>
      <c r="D176" s="5">
        <v>45211</v>
      </c>
      <c r="E176" s="6" t="s">
        <v>19</v>
      </c>
      <c r="F176" s="6" t="s">
        <v>120</v>
      </c>
      <c r="G176" s="6" t="s">
        <v>26</v>
      </c>
      <c r="H176" s="6" t="s">
        <v>88</v>
      </c>
      <c r="I176" s="7">
        <v>415</v>
      </c>
      <c r="J176" s="7">
        <v>415</v>
      </c>
      <c r="K176" s="8">
        <v>348.33</v>
      </c>
      <c r="L176" s="8">
        <v>350.01</v>
      </c>
      <c r="M176" s="8">
        <f t="shared" si="10"/>
        <v>144556.94999999998</v>
      </c>
      <c r="N176" s="8">
        <f t="shared" si="10"/>
        <v>145254.15</v>
      </c>
      <c r="O176" s="8">
        <f t="shared" si="11"/>
        <v>-697.20000000001164</v>
      </c>
      <c r="P176" s="7">
        <f t="shared" si="12"/>
        <v>19</v>
      </c>
      <c r="Q176" s="9" t="str">
        <f t="shared" si="13"/>
        <v>Com Atraso</v>
      </c>
      <c r="R176" s="10" t="str">
        <f t="shared" si="14"/>
        <v>Completo</v>
      </c>
    </row>
    <row r="177" spans="1:18" x14ac:dyDescent="0.3">
      <c r="A177" s="4" t="s">
        <v>252</v>
      </c>
      <c r="B177" s="5">
        <v>45195</v>
      </c>
      <c r="C177" s="5">
        <v>45204</v>
      </c>
      <c r="D177" s="5">
        <v>45213</v>
      </c>
      <c r="E177" s="6" t="s">
        <v>37</v>
      </c>
      <c r="F177" s="6" t="s">
        <v>231</v>
      </c>
      <c r="G177" s="6" t="s">
        <v>26</v>
      </c>
      <c r="H177" s="6" t="s">
        <v>27</v>
      </c>
      <c r="I177" s="7">
        <v>1785</v>
      </c>
      <c r="J177" s="7">
        <v>1785</v>
      </c>
      <c r="K177" s="8">
        <v>351.05</v>
      </c>
      <c r="L177" s="8">
        <v>359.08</v>
      </c>
      <c r="M177" s="8">
        <f t="shared" si="10"/>
        <v>626624.25</v>
      </c>
      <c r="N177" s="8">
        <f t="shared" si="10"/>
        <v>640957.79999999993</v>
      </c>
      <c r="O177" s="8">
        <f t="shared" si="11"/>
        <v>-14333.54999999993</v>
      </c>
      <c r="P177" s="7">
        <f t="shared" si="12"/>
        <v>18</v>
      </c>
      <c r="Q177" s="9" t="str">
        <f t="shared" si="13"/>
        <v>Com Atraso</v>
      </c>
      <c r="R177" s="10" t="str">
        <f t="shared" si="14"/>
        <v>Completo</v>
      </c>
    </row>
    <row r="178" spans="1:18" x14ac:dyDescent="0.3">
      <c r="A178" s="4" t="s">
        <v>253</v>
      </c>
      <c r="B178" s="5">
        <v>45205</v>
      </c>
      <c r="C178" s="5">
        <v>45211</v>
      </c>
      <c r="D178" s="5">
        <v>45207</v>
      </c>
      <c r="E178" s="6" t="s">
        <v>19</v>
      </c>
      <c r="F178" s="6" t="s">
        <v>120</v>
      </c>
      <c r="G178" s="6" t="s">
        <v>26</v>
      </c>
      <c r="H178" s="6" t="s">
        <v>22</v>
      </c>
      <c r="I178" s="7">
        <v>405</v>
      </c>
      <c r="J178" s="7">
        <v>405</v>
      </c>
      <c r="K178" s="8">
        <v>240.79</v>
      </c>
      <c r="L178" s="8">
        <v>249.43</v>
      </c>
      <c r="M178" s="8">
        <f t="shared" si="10"/>
        <v>97519.95</v>
      </c>
      <c r="N178" s="8">
        <f t="shared" si="10"/>
        <v>101019.15000000001</v>
      </c>
      <c r="O178" s="8">
        <f t="shared" si="11"/>
        <v>-3499.2000000000116</v>
      </c>
      <c r="P178" s="7">
        <f t="shared" si="12"/>
        <v>2</v>
      </c>
      <c r="Q178" s="9" t="str">
        <f t="shared" si="13"/>
        <v>No Prazo</v>
      </c>
      <c r="R178" s="10" t="str">
        <f t="shared" si="14"/>
        <v>Completo</v>
      </c>
    </row>
    <row r="179" spans="1:18" x14ac:dyDescent="0.3">
      <c r="A179" s="4" t="s">
        <v>254</v>
      </c>
      <c r="B179" s="5">
        <v>45213</v>
      </c>
      <c r="C179" s="5">
        <v>45221</v>
      </c>
      <c r="D179" s="5">
        <v>45218</v>
      </c>
      <c r="E179" s="6" t="s">
        <v>19</v>
      </c>
      <c r="F179" s="6" t="s">
        <v>120</v>
      </c>
      <c r="G179" s="6" t="s">
        <v>21</v>
      </c>
      <c r="H179" s="6" t="s">
        <v>27</v>
      </c>
      <c r="I179" s="7">
        <v>1810</v>
      </c>
      <c r="J179" s="7">
        <v>1810</v>
      </c>
      <c r="K179" s="8">
        <v>363.58</v>
      </c>
      <c r="L179" s="8">
        <v>367.55</v>
      </c>
      <c r="M179" s="8">
        <f t="shared" si="10"/>
        <v>658079.79999999993</v>
      </c>
      <c r="N179" s="8">
        <f t="shared" si="10"/>
        <v>665265.5</v>
      </c>
      <c r="O179" s="8">
        <f t="shared" si="11"/>
        <v>-7185.7000000000698</v>
      </c>
      <c r="P179" s="7">
        <f t="shared" si="12"/>
        <v>5</v>
      </c>
      <c r="Q179" s="9" t="str">
        <f t="shared" si="13"/>
        <v>No Prazo</v>
      </c>
      <c r="R179" s="10" t="str">
        <f t="shared" si="14"/>
        <v>Completo</v>
      </c>
    </row>
    <row r="180" spans="1:18" x14ac:dyDescent="0.3">
      <c r="A180" s="4" t="s">
        <v>255</v>
      </c>
      <c r="B180" s="5">
        <v>45214</v>
      </c>
      <c r="C180" s="5">
        <v>45230</v>
      </c>
      <c r="D180" s="5">
        <v>45228</v>
      </c>
      <c r="E180" s="6" t="s">
        <v>44</v>
      </c>
      <c r="F180" s="6" t="s">
        <v>69</v>
      </c>
      <c r="G180" s="6" t="s">
        <v>26</v>
      </c>
      <c r="H180" s="6" t="s">
        <v>59</v>
      </c>
      <c r="I180" s="7">
        <v>70</v>
      </c>
      <c r="J180" s="7">
        <v>70</v>
      </c>
      <c r="K180" s="8">
        <v>213.96</v>
      </c>
      <c r="L180" s="8">
        <v>220.38</v>
      </c>
      <c r="M180" s="8">
        <f t="shared" si="10"/>
        <v>14977.2</v>
      </c>
      <c r="N180" s="8">
        <f t="shared" si="10"/>
        <v>15426.6</v>
      </c>
      <c r="O180" s="8">
        <f t="shared" si="11"/>
        <v>-449.39999999999964</v>
      </c>
      <c r="P180" s="7">
        <f t="shared" si="12"/>
        <v>14</v>
      </c>
      <c r="Q180" s="9" t="str">
        <f t="shared" si="13"/>
        <v>No Prazo</v>
      </c>
      <c r="R180" s="10" t="str">
        <f t="shared" si="14"/>
        <v>Completo</v>
      </c>
    </row>
    <row r="181" spans="1:18" x14ac:dyDescent="0.3">
      <c r="A181" s="4" t="s">
        <v>256</v>
      </c>
      <c r="B181" s="5">
        <v>45221</v>
      </c>
      <c r="C181" s="5">
        <v>45241</v>
      </c>
      <c r="D181" s="5">
        <v>45241</v>
      </c>
      <c r="E181" s="6" t="s">
        <v>24</v>
      </c>
      <c r="F181" s="6" t="s">
        <v>218</v>
      </c>
      <c r="G181" s="6" t="s">
        <v>34</v>
      </c>
      <c r="H181" s="6" t="s">
        <v>42</v>
      </c>
      <c r="I181" s="7">
        <v>730</v>
      </c>
      <c r="J181" s="7">
        <v>730</v>
      </c>
      <c r="K181" s="8">
        <v>446.19</v>
      </c>
      <c r="L181" s="8">
        <v>425.88</v>
      </c>
      <c r="M181" s="8">
        <f t="shared" si="10"/>
        <v>325718.7</v>
      </c>
      <c r="N181" s="8">
        <f t="shared" si="10"/>
        <v>310892.40000000002</v>
      </c>
      <c r="O181" s="8">
        <f t="shared" si="11"/>
        <v>14826.299999999988</v>
      </c>
      <c r="P181" s="7">
        <f t="shared" si="12"/>
        <v>20</v>
      </c>
      <c r="Q181" s="9" t="str">
        <f t="shared" si="13"/>
        <v>No Prazo</v>
      </c>
      <c r="R181" s="10" t="str">
        <f t="shared" si="14"/>
        <v>Completo</v>
      </c>
    </row>
    <row r="182" spans="1:18" x14ac:dyDescent="0.3">
      <c r="A182" s="4" t="s">
        <v>257</v>
      </c>
      <c r="B182" s="5">
        <v>45222</v>
      </c>
      <c r="C182" s="5">
        <v>45238</v>
      </c>
      <c r="D182" s="5">
        <v>45236</v>
      </c>
      <c r="E182" s="6" t="s">
        <v>29</v>
      </c>
      <c r="F182" s="6" t="s">
        <v>63</v>
      </c>
      <c r="G182" s="6" t="s">
        <v>34</v>
      </c>
      <c r="H182" s="6" t="s">
        <v>81</v>
      </c>
      <c r="I182" s="7">
        <v>2465</v>
      </c>
      <c r="J182" s="7">
        <v>2465</v>
      </c>
      <c r="K182" s="8">
        <v>226.26</v>
      </c>
      <c r="L182" s="8">
        <v>208.37</v>
      </c>
      <c r="M182" s="8">
        <f t="shared" si="10"/>
        <v>557730.9</v>
      </c>
      <c r="N182" s="8">
        <f t="shared" si="10"/>
        <v>513632.05</v>
      </c>
      <c r="O182" s="8">
        <f t="shared" si="11"/>
        <v>44098.850000000035</v>
      </c>
      <c r="P182" s="7">
        <f t="shared" si="12"/>
        <v>14</v>
      </c>
      <c r="Q182" s="9" t="str">
        <f t="shared" si="13"/>
        <v>No Prazo</v>
      </c>
      <c r="R182" s="10" t="str">
        <f t="shared" si="14"/>
        <v>Completo</v>
      </c>
    </row>
    <row r="183" spans="1:18" x14ac:dyDescent="0.3">
      <c r="A183" s="4" t="s">
        <v>258</v>
      </c>
      <c r="B183" s="5">
        <v>45224</v>
      </c>
      <c r="C183" s="5">
        <v>45244</v>
      </c>
      <c r="D183" s="5">
        <v>45240</v>
      </c>
      <c r="E183" s="6" t="s">
        <v>66</v>
      </c>
      <c r="F183" s="6" t="s">
        <v>141</v>
      </c>
      <c r="G183" s="6" t="s">
        <v>26</v>
      </c>
      <c r="H183" s="6" t="s">
        <v>88</v>
      </c>
      <c r="I183" s="7">
        <v>2245</v>
      </c>
      <c r="J183" s="7">
        <v>2026</v>
      </c>
      <c r="K183" s="8">
        <v>442.2</v>
      </c>
      <c r="L183" s="8">
        <v>406.41</v>
      </c>
      <c r="M183" s="8">
        <f t="shared" si="10"/>
        <v>992739</v>
      </c>
      <c r="N183" s="8">
        <f t="shared" si="10"/>
        <v>823386.66</v>
      </c>
      <c r="O183" s="8">
        <f t="shared" si="11"/>
        <v>169352.33999999997</v>
      </c>
      <c r="P183" s="7">
        <f t="shared" si="12"/>
        <v>16</v>
      </c>
      <c r="Q183" s="9" t="str">
        <f t="shared" si="13"/>
        <v>No Prazo</v>
      </c>
      <c r="R183" s="10" t="str">
        <f t="shared" si="14"/>
        <v>Incompleto</v>
      </c>
    </row>
    <row r="184" spans="1:18" x14ac:dyDescent="0.3">
      <c r="A184" s="4" t="s">
        <v>259</v>
      </c>
      <c r="B184" s="5">
        <v>45234</v>
      </c>
      <c r="C184" s="5">
        <v>45244</v>
      </c>
      <c r="D184" s="5">
        <v>45242</v>
      </c>
      <c r="E184" s="6" t="s">
        <v>24</v>
      </c>
      <c r="F184" s="6" t="s">
        <v>98</v>
      </c>
      <c r="G184" s="6" t="s">
        <v>34</v>
      </c>
      <c r="H184" s="6" t="s">
        <v>42</v>
      </c>
      <c r="I184" s="7">
        <v>1860</v>
      </c>
      <c r="J184" s="7">
        <v>1860</v>
      </c>
      <c r="K184" s="8">
        <v>217.93</v>
      </c>
      <c r="L184" s="8">
        <v>211.15</v>
      </c>
      <c r="M184" s="8">
        <f t="shared" si="10"/>
        <v>405349.8</v>
      </c>
      <c r="N184" s="8">
        <f t="shared" si="10"/>
        <v>392739</v>
      </c>
      <c r="O184" s="8">
        <f t="shared" si="11"/>
        <v>12610.799999999988</v>
      </c>
      <c r="P184" s="7">
        <f t="shared" si="12"/>
        <v>8</v>
      </c>
      <c r="Q184" s="9" t="str">
        <f t="shared" si="13"/>
        <v>No Prazo</v>
      </c>
      <c r="R184" s="10" t="str">
        <f t="shared" si="14"/>
        <v>Completo</v>
      </c>
    </row>
    <row r="185" spans="1:18" x14ac:dyDescent="0.3">
      <c r="A185" s="4" t="s">
        <v>260</v>
      </c>
      <c r="B185" s="5">
        <v>45237</v>
      </c>
      <c r="C185" s="5">
        <v>45251</v>
      </c>
      <c r="D185" s="5">
        <v>45251</v>
      </c>
      <c r="E185" s="6" t="s">
        <v>29</v>
      </c>
      <c r="F185" s="6" t="s">
        <v>92</v>
      </c>
      <c r="G185" s="6" t="s">
        <v>26</v>
      </c>
      <c r="H185" s="6" t="s">
        <v>81</v>
      </c>
      <c r="I185" s="7">
        <v>2300</v>
      </c>
      <c r="J185" s="7">
        <v>2300</v>
      </c>
      <c r="K185" s="8">
        <v>145.72999999999999</v>
      </c>
      <c r="L185" s="8">
        <v>139.1</v>
      </c>
      <c r="M185" s="8">
        <f t="shared" si="10"/>
        <v>335179</v>
      </c>
      <c r="N185" s="8">
        <f t="shared" si="10"/>
        <v>319930</v>
      </c>
      <c r="O185" s="8">
        <f t="shared" si="11"/>
        <v>15249</v>
      </c>
      <c r="P185" s="7">
        <f t="shared" si="12"/>
        <v>14</v>
      </c>
      <c r="Q185" s="9" t="str">
        <f t="shared" si="13"/>
        <v>No Prazo</v>
      </c>
      <c r="R185" s="10" t="str">
        <f t="shared" si="14"/>
        <v>Completo</v>
      </c>
    </row>
    <row r="186" spans="1:18" x14ac:dyDescent="0.3">
      <c r="A186" s="4" t="s">
        <v>261</v>
      </c>
      <c r="B186" s="5">
        <v>45240</v>
      </c>
      <c r="C186" s="5">
        <v>45245</v>
      </c>
      <c r="D186" s="5">
        <v>45244</v>
      </c>
      <c r="E186" s="6" t="s">
        <v>37</v>
      </c>
      <c r="F186" s="6" t="s">
        <v>41</v>
      </c>
      <c r="G186" s="6" t="s">
        <v>51</v>
      </c>
      <c r="H186" s="6" t="s">
        <v>88</v>
      </c>
      <c r="I186" s="7">
        <v>555</v>
      </c>
      <c r="J186" s="7">
        <v>555</v>
      </c>
      <c r="K186" s="8">
        <v>368.97</v>
      </c>
      <c r="L186" s="8">
        <v>358.53</v>
      </c>
      <c r="M186" s="8">
        <f t="shared" si="10"/>
        <v>204778.35</v>
      </c>
      <c r="N186" s="8">
        <f t="shared" si="10"/>
        <v>198984.15</v>
      </c>
      <c r="O186" s="8">
        <f t="shared" si="11"/>
        <v>5794.2000000000116</v>
      </c>
      <c r="P186" s="7">
        <f t="shared" si="12"/>
        <v>4</v>
      </c>
      <c r="Q186" s="9" t="str">
        <f t="shared" si="13"/>
        <v>No Prazo</v>
      </c>
      <c r="R186" s="10" t="str">
        <f t="shared" si="14"/>
        <v>Completo</v>
      </c>
    </row>
    <row r="187" spans="1:18" x14ac:dyDescent="0.3">
      <c r="A187" s="4" t="s">
        <v>262</v>
      </c>
      <c r="B187" s="5">
        <v>45242</v>
      </c>
      <c r="C187" s="5">
        <v>45251</v>
      </c>
      <c r="D187" s="5">
        <v>45249</v>
      </c>
      <c r="E187" s="6" t="s">
        <v>29</v>
      </c>
      <c r="F187" s="6" t="s">
        <v>113</v>
      </c>
      <c r="G187" s="6" t="s">
        <v>26</v>
      </c>
      <c r="H187" s="6" t="s">
        <v>53</v>
      </c>
      <c r="I187" s="7">
        <v>510</v>
      </c>
      <c r="J187" s="7">
        <v>333</v>
      </c>
      <c r="K187" s="8">
        <v>370.68</v>
      </c>
      <c r="L187" s="8">
        <v>338.3</v>
      </c>
      <c r="M187" s="8">
        <f t="shared" si="10"/>
        <v>189046.80000000002</v>
      </c>
      <c r="N187" s="8">
        <f t="shared" si="10"/>
        <v>112653.90000000001</v>
      </c>
      <c r="O187" s="8">
        <f t="shared" si="11"/>
        <v>76392.900000000009</v>
      </c>
      <c r="P187" s="7">
        <f t="shared" si="12"/>
        <v>7</v>
      </c>
      <c r="Q187" s="9" t="str">
        <f t="shared" si="13"/>
        <v>No Prazo</v>
      </c>
      <c r="R187" s="10" t="str">
        <f t="shared" si="14"/>
        <v>Incompleto</v>
      </c>
    </row>
    <row r="188" spans="1:18" x14ac:dyDescent="0.3">
      <c r="A188" s="4" t="s">
        <v>263</v>
      </c>
      <c r="B188" s="5">
        <v>45252</v>
      </c>
      <c r="C188" s="5">
        <v>45266</v>
      </c>
      <c r="D188" s="5">
        <v>45262</v>
      </c>
      <c r="E188" s="6" t="s">
        <v>44</v>
      </c>
      <c r="F188" s="6" t="s">
        <v>61</v>
      </c>
      <c r="G188" s="6" t="s">
        <v>64</v>
      </c>
      <c r="H188" s="6" t="s">
        <v>59</v>
      </c>
      <c r="I188" s="7">
        <v>615</v>
      </c>
      <c r="J188" s="7">
        <v>319</v>
      </c>
      <c r="K188" s="8">
        <v>378.66</v>
      </c>
      <c r="L188" s="8">
        <v>389.03</v>
      </c>
      <c r="M188" s="8">
        <f t="shared" si="10"/>
        <v>232875.90000000002</v>
      </c>
      <c r="N188" s="8">
        <f t="shared" si="10"/>
        <v>124100.56999999999</v>
      </c>
      <c r="O188" s="8">
        <f t="shared" si="11"/>
        <v>108775.33000000003</v>
      </c>
      <c r="P188" s="7">
        <f t="shared" si="12"/>
        <v>10</v>
      </c>
      <c r="Q188" s="9" t="str">
        <f t="shared" si="13"/>
        <v>No Prazo</v>
      </c>
      <c r="R188" s="10" t="str">
        <f t="shared" si="14"/>
        <v>Incompleto</v>
      </c>
    </row>
    <row r="189" spans="1:18" x14ac:dyDescent="0.3">
      <c r="A189" s="4" t="s">
        <v>264</v>
      </c>
      <c r="B189" s="5">
        <v>45273</v>
      </c>
      <c r="C189" s="5">
        <v>45293</v>
      </c>
      <c r="D189" s="5">
        <v>45292</v>
      </c>
      <c r="E189" s="6" t="s">
        <v>29</v>
      </c>
      <c r="F189" s="6" t="s">
        <v>113</v>
      </c>
      <c r="G189" s="6" t="s">
        <v>51</v>
      </c>
      <c r="H189" s="6" t="s">
        <v>59</v>
      </c>
      <c r="I189" s="7">
        <v>1345</v>
      </c>
      <c r="J189" s="7">
        <v>1345</v>
      </c>
      <c r="K189" s="8">
        <v>249.81</v>
      </c>
      <c r="L189" s="8">
        <v>220.7</v>
      </c>
      <c r="M189" s="8">
        <f t="shared" si="10"/>
        <v>335994.45</v>
      </c>
      <c r="N189" s="8">
        <f t="shared" si="10"/>
        <v>296841.5</v>
      </c>
      <c r="O189" s="8">
        <f t="shared" si="11"/>
        <v>39152.950000000012</v>
      </c>
      <c r="P189" s="7">
        <f t="shared" si="12"/>
        <v>19</v>
      </c>
      <c r="Q189" s="9" t="str">
        <f t="shared" si="13"/>
        <v>No Prazo</v>
      </c>
      <c r="R189" s="10" t="str">
        <f t="shared" si="14"/>
        <v>Completo</v>
      </c>
    </row>
    <row r="190" spans="1:18" x14ac:dyDescent="0.3">
      <c r="A190" s="4" t="s">
        <v>265</v>
      </c>
      <c r="B190" s="5">
        <v>45294</v>
      </c>
      <c r="C190" s="5">
        <v>45306</v>
      </c>
      <c r="D190" s="5">
        <v>45302</v>
      </c>
      <c r="E190" s="6" t="s">
        <v>24</v>
      </c>
      <c r="F190" s="6" t="s">
        <v>98</v>
      </c>
      <c r="G190" s="6" t="s">
        <v>21</v>
      </c>
      <c r="H190" s="6" t="s">
        <v>35</v>
      </c>
      <c r="I190" s="7">
        <v>1020</v>
      </c>
      <c r="J190" s="7">
        <v>1020</v>
      </c>
      <c r="K190" s="8">
        <v>445.12</v>
      </c>
      <c r="L190" s="8">
        <v>443.78</v>
      </c>
      <c r="M190" s="8">
        <f t="shared" si="10"/>
        <v>454022.40000000002</v>
      </c>
      <c r="N190" s="8">
        <f t="shared" si="10"/>
        <v>452655.6</v>
      </c>
      <c r="O190" s="8">
        <f t="shared" si="11"/>
        <v>1366.8000000000466</v>
      </c>
      <c r="P190" s="7">
        <f t="shared" si="12"/>
        <v>8</v>
      </c>
      <c r="Q190" s="9" t="str">
        <f t="shared" si="13"/>
        <v>No Prazo</v>
      </c>
      <c r="R190" s="10" t="str">
        <f t="shared" si="14"/>
        <v>Completo</v>
      </c>
    </row>
    <row r="191" spans="1:18" x14ac:dyDescent="0.3">
      <c r="A191" s="4" t="s">
        <v>266</v>
      </c>
      <c r="B191" s="5">
        <v>45297</v>
      </c>
      <c r="C191" s="5">
        <v>45308</v>
      </c>
      <c r="D191" s="5">
        <v>45308</v>
      </c>
      <c r="E191" s="6" t="s">
        <v>24</v>
      </c>
      <c r="F191" s="6" t="s">
        <v>98</v>
      </c>
      <c r="G191" s="6" t="s">
        <v>34</v>
      </c>
      <c r="H191" s="6" t="s">
        <v>53</v>
      </c>
      <c r="I191" s="7">
        <v>1015</v>
      </c>
      <c r="J191" s="7">
        <v>1015</v>
      </c>
      <c r="K191" s="8">
        <v>294.37</v>
      </c>
      <c r="L191" s="8">
        <v>302.76</v>
      </c>
      <c r="M191" s="8">
        <f t="shared" si="10"/>
        <v>298785.55</v>
      </c>
      <c r="N191" s="8">
        <f t="shared" si="10"/>
        <v>307301.39999999997</v>
      </c>
      <c r="O191" s="8">
        <f t="shared" si="11"/>
        <v>-8515.8499999999767</v>
      </c>
      <c r="P191" s="7">
        <f t="shared" si="12"/>
        <v>11</v>
      </c>
      <c r="Q191" s="9" t="str">
        <f t="shared" si="13"/>
        <v>No Prazo</v>
      </c>
      <c r="R191" s="10" t="str">
        <f t="shared" si="14"/>
        <v>Completo</v>
      </c>
    </row>
    <row r="192" spans="1:18" x14ac:dyDescent="0.3">
      <c r="A192" s="4" t="s">
        <v>267</v>
      </c>
      <c r="B192" s="5">
        <v>45298</v>
      </c>
      <c r="C192" s="5">
        <v>45306</v>
      </c>
      <c r="D192" s="5">
        <v>45303</v>
      </c>
      <c r="E192" s="6" t="s">
        <v>29</v>
      </c>
      <c r="F192" s="6" t="s">
        <v>113</v>
      </c>
      <c r="G192" s="6" t="s">
        <v>51</v>
      </c>
      <c r="H192" s="6" t="s">
        <v>48</v>
      </c>
      <c r="I192" s="7">
        <v>1775</v>
      </c>
      <c r="J192" s="7">
        <v>1775</v>
      </c>
      <c r="K192" s="8">
        <v>451.82</v>
      </c>
      <c r="L192" s="8">
        <v>411.37</v>
      </c>
      <c r="M192" s="8">
        <f t="shared" si="10"/>
        <v>801980.5</v>
      </c>
      <c r="N192" s="8">
        <f t="shared" si="10"/>
        <v>730181.75</v>
      </c>
      <c r="O192" s="8">
        <f t="shared" si="11"/>
        <v>71798.75</v>
      </c>
      <c r="P192" s="7">
        <f t="shared" si="12"/>
        <v>5</v>
      </c>
      <c r="Q192" s="9" t="str">
        <f t="shared" si="13"/>
        <v>No Prazo</v>
      </c>
      <c r="R192" s="10" t="str">
        <f t="shared" si="14"/>
        <v>Completo</v>
      </c>
    </row>
    <row r="193" spans="1:18" x14ac:dyDescent="0.3">
      <c r="A193" s="4" t="s">
        <v>268</v>
      </c>
      <c r="B193" s="5">
        <v>45299</v>
      </c>
      <c r="C193" s="5">
        <v>45307</v>
      </c>
      <c r="D193" s="5">
        <v>45307</v>
      </c>
      <c r="E193" s="6" t="s">
        <v>19</v>
      </c>
      <c r="F193" s="6" t="s">
        <v>120</v>
      </c>
      <c r="G193" s="6" t="s">
        <v>64</v>
      </c>
      <c r="H193" s="6" t="s">
        <v>22</v>
      </c>
      <c r="I193" s="7">
        <v>760</v>
      </c>
      <c r="J193" s="7">
        <v>760</v>
      </c>
      <c r="K193" s="8">
        <v>421.32</v>
      </c>
      <c r="L193" s="8">
        <v>376.16</v>
      </c>
      <c r="M193" s="8">
        <f t="shared" si="10"/>
        <v>320203.2</v>
      </c>
      <c r="N193" s="8">
        <f t="shared" si="10"/>
        <v>285881.60000000003</v>
      </c>
      <c r="O193" s="8">
        <f t="shared" si="11"/>
        <v>34321.599999999977</v>
      </c>
      <c r="P193" s="7">
        <f t="shared" si="12"/>
        <v>8</v>
      </c>
      <c r="Q193" s="9" t="str">
        <f t="shared" si="13"/>
        <v>No Prazo</v>
      </c>
      <c r="R193" s="10" t="str">
        <f t="shared" si="14"/>
        <v>Completo</v>
      </c>
    </row>
    <row r="194" spans="1:18" x14ac:dyDescent="0.3">
      <c r="A194" s="4" t="s">
        <v>269</v>
      </c>
      <c r="B194" s="5">
        <v>45301</v>
      </c>
      <c r="C194" s="5">
        <v>45317</v>
      </c>
      <c r="D194" s="5">
        <v>45317</v>
      </c>
      <c r="E194" s="6" t="s">
        <v>66</v>
      </c>
      <c r="F194" s="6" t="s">
        <v>67</v>
      </c>
      <c r="G194" s="6" t="s">
        <v>21</v>
      </c>
      <c r="H194" s="6" t="s">
        <v>27</v>
      </c>
      <c r="I194" s="7">
        <v>1980</v>
      </c>
      <c r="J194" s="7">
        <v>1980</v>
      </c>
      <c r="K194" s="8">
        <v>380.6</v>
      </c>
      <c r="L194" s="8">
        <v>368.93</v>
      </c>
      <c r="M194" s="8">
        <f t="shared" ref="M194:N251" si="15">I194*K194</f>
        <v>753588</v>
      </c>
      <c r="N194" s="8">
        <f t="shared" si="15"/>
        <v>730481.4</v>
      </c>
      <c r="O194" s="8">
        <f t="shared" ref="O194:O251" si="16">M194-N194</f>
        <v>23106.599999999977</v>
      </c>
      <c r="P194" s="7">
        <f t="shared" ref="P194:P251" si="17">D194-B194</f>
        <v>16</v>
      </c>
      <c r="Q194" s="9" t="str">
        <f t="shared" ref="Q194:Q251" si="18">IF(D194&lt;=C194,"No Prazo","Com Atraso")</f>
        <v>No Prazo</v>
      </c>
      <c r="R194" s="10" t="str">
        <f t="shared" ref="R194:R251" si="19">IF(J194&gt;=I194,"Completo","Incompleto")</f>
        <v>Completo</v>
      </c>
    </row>
    <row r="195" spans="1:18" x14ac:dyDescent="0.3">
      <c r="A195" s="4" t="s">
        <v>270</v>
      </c>
      <c r="B195" s="5">
        <v>45305</v>
      </c>
      <c r="C195" s="5">
        <v>45313</v>
      </c>
      <c r="D195" s="5">
        <v>45311</v>
      </c>
      <c r="E195" s="6" t="s">
        <v>55</v>
      </c>
      <c r="F195" s="6" t="s">
        <v>150</v>
      </c>
      <c r="G195" s="6" t="s">
        <v>51</v>
      </c>
      <c r="H195" s="6" t="s">
        <v>35</v>
      </c>
      <c r="I195" s="7">
        <v>670</v>
      </c>
      <c r="J195" s="7">
        <v>670</v>
      </c>
      <c r="K195" s="8">
        <v>390</v>
      </c>
      <c r="L195" s="8">
        <v>355.82</v>
      </c>
      <c r="M195" s="8">
        <f t="shared" si="15"/>
        <v>261300</v>
      </c>
      <c r="N195" s="8">
        <f t="shared" si="15"/>
        <v>238399.4</v>
      </c>
      <c r="O195" s="8">
        <f t="shared" si="16"/>
        <v>22900.600000000006</v>
      </c>
      <c r="P195" s="7">
        <f t="shared" si="17"/>
        <v>6</v>
      </c>
      <c r="Q195" s="9" t="str">
        <f t="shared" si="18"/>
        <v>No Prazo</v>
      </c>
      <c r="R195" s="10" t="str">
        <f t="shared" si="19"/>
        <v>Completo</v>
      </c>
    </row>
    <row r="196" spans="1:18" x14ac:dyDescent="0.3">
      <c r="A196" s="4" t="s">
        <v>271</v>
      </c>
      <c r="B196" s="5">
        <v>45305</v>
      </c>
      <c r="C196" s="5">
        <v>45319</v>
      </c>
      <c r="D196" s="5">
        <v>45317</v>
      </c>
      <c r="E196" s="6" t="s">
        <v>29</v>
      </c>
      <c r="F196" s="6" t="s">
        <v>33</v>
      </c>
      <c r="G196" s="6" t="s">
        <v>51</v>
      </c>
      <c r="H196" s="6" t="s">
        <v>53</v>
      </c>
      <c r="I196" s="7">
        <v>2175</v>
      </c>
      <c r="J196" s="7">
        <v>2175</v>
      </c>
      <c r="K196" s="8">
        <v>439.82</v>
      </c>
      <c r="L196" s="8">
        <v>457.64</v>
      </c>
      <c r="M196" s="8">
        <f t="shared" si="15"/>
        <v>956608.5</v>
      </c>
      <c r="N196" s="8">
        <f t="shared" si="15"/>
        <v>995367</v>
      </c>
      <c r="O196" s="8">
        <f t="shared" si="16"/>
        <v>-38758.5</v>
      </c>
      <c r="P196" s="7">
        <f t="shared" si="17"/>
        <v>12</v>
      </c>
      <c r="Q196" s="9" t="str">
        <f t="shared" si="18"/>
        <v>No Prazo</v>
      </c>
      <c r="R196" s="10" t="str">
        <f t="shared" si="19"/>
        <v>Completo</v>
      </c>
    </row>
    <row r="197" spans="1:18" x14ac:dyDescent="0.3">
      <c r="A197" s="4" t="s">
        <v>272</v>
      </c>
      <c r="B197" s="5">
        <v>45318</v>
      </c>
      <c r="C197" s="5">
        <v>45324</v>
      </c>
      <c r="D197" s="5">
        <v>45328</v>
      </c>
      <c r="E197" s="6" t="s">
        <v>37</v>
      </c>
      <c r="F197" s="6" t="s">
        <v>41</v>
      </c>
      <c r="G197" s="6" t="s">
        <v>51</v>
      </c>
      <c r="H197" s="6" t="s">
        <v>59</v>
      </c>
      <c r="I197" s="7">
        <v>425</v>
      </c>
      <c r="J197" s="7">
        <v>425</v>
      </c>
      <c r="K197" s="8">
        <v>32.049999999999997</v>
      </c>
      <c r="L197" s="8">
        <v>30.19</v>
      </c>
      <c r="M197" s="8">
        <f t="shared" si="15"/>
        <v>13621.249999999998</v>
      </c>
      <c r="N197" s="8">
        <f t="shared" si="15"/>
        <v>12830.75</v>
      </c>
      <c r="O197" s="8">
        <f t="shared" si="16"/>
        <v>790.49999999999818</v>
      </c>
      <c r="P197" s="7">
        <f t="shared" si="17"/>
        <v>10</v>
      </c>
      <c r="Q197" s="9" t="str">
        <f t="shared" si="18"/>
        <v>Com Atraso</v>
      </c>
      <c r="R197" s="10" t="str">
        <f t="shared" si="19"/>
        <v>Completo</v>
      </c>
    </row>
    <row r="198" spans="1:18" x14ac:dyDescent="0.3">
      <c r="A198" s="4" t="s">
        <v>273</v>
      </c>
      <c r="B198" s="5">
        <v>45319</v>
      </c>
      <c r="C198" s="5">
        <v>45338</v>
      </c>
      <c r="D198" s="5">
        <v>45335</v>
      </c>
      <c r="E198" s="6" t="s">
        <v>29</v>
      </c>
      <c r="F198" s="6" t="s">
        <v>92</v>
      </c>
      <c r="G198" s="6" t="s">
        <v>64</v>
      </c>
      <c r="H198" s="6" t="s">
        <v>48</v>
      </c>
      <c r="I198" s="7">
        <v>1275</v>
      </c>
      <c r="J198" s="7">
        <v>1275</v>
      </c>
      <c r="K198" s="8">
        <v>391.88</v>
      </c>
      <c r="L198" s="8">
        <v>349.06</v>
      </c>
      <c r="M198" s="8">
        <f t="shared" si="15"/>
        <v>499647</v>
      </c>
      <c r="N198" s="8">
        <f t="shared" si="15"/>
        <v>445051.5</v>
      </c>
      <c r="O198" s="8">
        <f t="shared" si="16"/>
        <v>54595.5</v>
      </c>
      <c r="P198" s="7">
        <f t="shared" si="17"/>
        <v>16</v>
      </c>
      <c r="Q198" s="9" t="str">
        <f t="shared" si="18"/>
        <v>No Prazo</v>
      </c>
      <c r="R198" s="10" t="str">
        <f t="shared" si="19"/>
        <v>Completo</v>
      </c>
    </row>
    <row r="199" spans="1:18" x14ac:dyDescent="0.3">
      <c r="A199" s="4" t="s">
        <v>274</v>
      </c>
      <c r="B199" s="5">
        <v>45336</v>
      </c>
      <c r="C199" s="5">
        <v>45350</v>
      </c>
      <c r="D199" s="5">
        <v>45346</v>
      </c>
      <c r="E199" s="6" t="s">
        <v>55</v>
      </c>
      <c r="F199" s="6" t="s">
        <v>171</v>
      </c>
      <c r="G199" s="6" t="s">
        <v>64</v>
      </c>
      <c r="H199" s="6" t="s">
        <v>27</v>
      </c>
      <c r="I199" s="7">
        <v>2455</v>
      </c>
      <c r="J199" s="7">
        <v>2455</v>
      </c>
      <c r="K199" s="8">
        <v>362.25</v>
      </c>
      <c r="L199" s="8">
        <v>329.5</v>
      </c>
      <c r="M199" s="8">
        <f t="shared" si="15"/>
        <v>889323.75</v>
      </c>
      <c r="N199" s="8">
        <f t="shared" si="15"/>
        <v>808922.5</v>
      </c>
      <c r="O199" s="8">
        <f t="shared" si="16"/>
        <v>80401.25</v>
      </c>
      <c r="P199" s="7">
        <f t="shared" si="17"/>
        <v>10</v>
      </c>
      <c r="Q199" s="9" t="str">
        <f t="shared" si="18"/>
        <v>No Prazo</v>
      </c>
      <c r="R199" s="10" t="str">
        <f t="shared" si="19"/>
        <v>Completo</v>
      </c>
    </row>
    <row r="200" spans="1:18" x14ac:dyDescent="0.3">
      <c r="A200" s="4" t="s">
        <v>275</v>
      </c>
      <c r="B200" s="5">
        <v>45336</v>
      </c>
      <c r="C200" s="5">
        <v>45345</v>
      </c>
      <c r="D200" s="5">
        <v>45347</v>
      </c>
      <c r="E200" s="6" t="s">
        <v>37</v>
      </c>
      <c r="F200" s="6" t="s">
        <v>96</v>
      </c>
      <c r="G200" s="6" t="s">
        <v>34</v>
      </c>
      <c r="H200" s="6" t="s">
        <v>53</v>
      </c>
      <c r="I200" s="7">
        <v>260</v>
      </c>
      <c r="J200" s="7">
        <v>260</v>
      </c>
      <c r="K200" s="8">
        <v>140.03</v>
      </c>
      <c r="L200" s="8">
        <v>144.78</v>
      </c>
      <c r="M200" s="8">
        <f t="shared" si="15"/>
        <v>36407.800000000003</v>
      </c>
      <c r="N200" s="8">
        <f t="shared" si="15"/>
        <v>37642.800000000003</v>
      </c>
      <c r="O200" s="8">
        <f t="shared" si="16"/>
        <v>-1235</v>
      </c>
      <c r="P200" s="7">
        <f t="shared" si="17"/>
        <v>11</v>
      </c>
      <c r="Q200" s="9" t="str">
        <f t="shared" si="18"/>
        <v>Com Atraso</v>
      </c>
      <c r="R200" s="10" t="str">
        <f t="shared" si="19"/>
        <v>Completo</v>
      </c>
    </row>
    <row r="201" spans="1:18" x14ac:dyDescent="0.3">
      <c r="A201" s="4" t="s">
        <v>276</v>
      </c>
      <c r="B201" s="5">
        <v>45339</v>
      </c>
      <c r="C201" s="5">
        <v>45357</v>
      </c>
      <c r="D201" s="5">
        <v>45356</v>
      </c>
      <c r="E201" s="6" t="s">
        <v>19</v>
      </c>
      <c r="F201" s="6" t="s">
        <v>73</v>
      </c>
      <c r="G201" s="6" t="s">
        <v>26</v>
      </c>
      <c r="H201" s="6" t="s">
        <v>27</v>
      </c>
      <c r="I201" s="7">
        <v>1765</v>
      </c>
      <c r="J201" s="7">
        <v>1765</v>
      </c>
      <c r="K201" s="8">
        <v>257.69</v>
      </c>
      <c r="L201" s="8">
        <v>257.27</v>
      </c>
      <c r="M201" s="8">
        <f t="shared" si="15"/>
        <v>454822.85</v>
      </c>
      <c r="N201" s="8">
        <f t="shared" si="15"/>
        <v>454081.55</v>
      </c>
      <c r="O201" s="8">
        <f t="shared" si="16"/>
        <v>741.29999999998836</v>
      </c>
      <c r="P201" s="7">
        <f t="shared" si="17"/>
        <v>17</v>
      </c>
      <c r="Q201" s="9" t="str">
        <f t="shared" si="18"/>
        <v>No Prazo</v>
      </c>
      <c r="R201" s="10" t="str">
        <f t="shared" si="19"/>
        <v>Completo</v>
      </c>
    </row>
    <row r="202" spans="1:18" x14ac:dyDescent="0.3">
      <c r="A202" s="4" t="s">
        <v>277</v>
      </c>
      <c r="B202" s="5">
        <v>45340</v>
      </c>
      <c r="C202" s="5">
        <v>45345</v>
      </c>
      <c r="D202" s="5">
        <v>45343</v>
      </c>
      <c r="E202" s="6" t="s">
        <v>29</v>
      </c>
      <c r="F202" s="6" t="s">
        <v>113</v>
      </c>
      <c r="G202" s="6" t="s">
        <v>26</v>
      </c>
      <c r="H202" s="6" t="s">
        <v>88</v>
      </c>
      <c r="I202" s="7">
        <v>625</v>
      </c>
      <c r="J202" s="7">
        <v>625</v>
      </c>
      <c r="K202" s="8">
        <v>407.61</v>
      </c>
      <c r="L202" s="8">
        <v>426.23</v>
      </c>
      <c r="M202" s="8">
        <f t="shared" si="15"/>
        <v>254756.25</v>
      </c>
      <c r="N202" s="8">
        <f t="shared" si="15"/>
        <v>266393.75</v>
      </c>
      <c r="O202" s="8">
        <f t="shared" si="16"/>
        <v>-11637.5</v>
      </c>
      <c r="P202" s="7">
        <f t="shared" si="17"/>
        <v>3</v>
      </c>
      <c r="Q202" s="9" t="str">
        <f t="shared" si="18"/>
        <v>No Prazo</v>
      </c>
      <c r="R202" s="10" t="str">
        <f t="shared" si="19"/>
        <v>Completo</v>
      </c>
    </row>
    <row r="203" spans="1:18" x14ac:dyDescent="0.3">
      <c r="A203" s="4" t="s">
        <v>278</v>
      </c>
      <c r="B203" s="5">
        <v>45341</v>
      </c>
      <c r="C203" s="5">
        <v>45356</v>
      </c>
      <c r="D203" s="5">
        <v>45357</v>
      </c>
      <c r="E203" s="6" t="s">
        <v>44</v>
      </c>
      <c r="F203" s="6" t="s">
        <v>78</v>
      </c>
      <c r="G203" s="6" t="s">
        <v>64</v>
      </c>
      <c r="H203" s="6" t="s">
        <v>81</v>
      </c>
      <c r="I203" s="7">
        <v>115</v>
      </c>
      <c r="J203" s="7">
        <v>115</v>
      </c>
      <c r="K203" s="8">
        <v>271.60000000000002</v>
      </c>
      <c r="L203" s="8">
        <v>266.57</v>
      </c>
      <c r="M203" s="8">
        <f t="shared" si="15"/>
        <v>31234.000000000004</v>
      </c>
      <c r="N203" s="8">
        <f t="shared" si="15"/>
        <v>30655.55</v>
      </c>
      <c r="O203" s="8">
        <f t="shared" si="16"/>
        <v>578.45000000000437</v>
      </c>
      <c r="P203" s="7">
        <f t="shared" si="17"/>
        <v>16</v>
      </c>
      <c r="Q203" s="9" t="str">
        <f t="shared" si="18"/>
        <v>Com Atraso</v>
      </c>
      <c r="R203" s="10" t="str">
        <f t="shared" si="19"/>
        <v>Completo</v>
      </c>
    </row>
    <row r="204" spans="1:18" x14ac:dyDescent="0.3">
      <c r="A204" s="4" t="s">
        <v>279</v>
      </c>
      <c r="B204" s="5">
        <v>45348</v>
      </c>
      <c r="C204" s="5">
        <v>45364</v>
      </c>
      <c r="D204" s="5">
        <v>45367</v>
      </c>
      <c r="E204" s="6" t="s">
        <v>66</v>
      </c>
      <c r="F204" s="6" t="s">
        <v>100</v>
      </c>
      <c r="G204" s="6" t="s">
        <v>26</v>
      </c>
      <c r="H204" s="6" t="s">
        <v>81</v>
      </c>
      <c r="I204" s="7">
        <v>1515</v>
      </c>
      <c r="J204" s="7">
        <v>1515</v>
      </c>
      <c r="K204" s="8">
        <v>190.01</v>
      </c>
      <c r="L204" s="8">
        <v>198.87</v>
      </c>
      <c r="M204" s="8">
        <f t="shared" si="15"/>
        <v>287865.14999999997</v>
      </c>
      <c r="N204" s="8">
        <f t="shared" si="15"/>
        <v>301288.05</v>
      </c>
      <c r="O204" s="8">
        <f t="shared" si="16"/>
        <v>-13422.900000000023</v>
      </c>
      <c r="P204" s="7">
        <f t="shared" si="17"/>
        <v>19</v>
      </c>
      <c r="Q204" s="9" t="str">
        <f t="shared" si="18"/>
        <v>Com Atraso</v>
      </c>
      <c r="R204" s="10" t="str">
        <f t="shared" si="19"/>
        <v>Completo</v>
      </c>
    </row>
    <row r="205" spans="1:18" x14ac:dyDescent="0.3">
      <c r="A205" s="4" t="s">
        <v>280</v>
      </c>
      <c r="B205" s="5">
        <v>45351</v>
      </c>
      <c r="C205" s="5">
        <v>45358</v>
      </c>
      <c r="D205" s="5">
        <v>45355</v>
      </c>
      <c r="E205" s="6" t="s">
        <v>44</v>
      </c>
      <c r="F205" s="6" t="s">
        <v>69</v>
      </c>
      <c r="G205" s="6" t="s">
        <v>64</v>
      </c>
      <c r="H205" s="6" t="s">
        <v>27</v>
      </c>
      <c r="I205" s="7">
        <v>1305</v>
      </c>
      <c r="J205" s="7">
        <v>1305</v>
      </c>
      <c r="K205" s="8">
        <v>405.15</v>
      </c>
      <c r="L205" s="8">
        <v>390.19</v>
      </c>
      <c r="M205" s="8">
        <f t="shared" si="15"/>
        <v>528720.75</v>
      </c>
      <c r="N205" s="8">
        <f t="shared" si="15"/>
        <v>509197.95</v>
      </c>
      <c r="O205" s="8">
        <f t="shared" si="16"/>
        <v>19522.799999999988</v>
      </c>
      <c r="P205" s="7">
        <f t="shared" si="17"/>
        <v>4</v>
      </c>
      <c r="Q205" s="9" t="str">
        <f t="shared" si="18"/>
        <v>No Prazo</v>
      </c>
      <c r="R205" s="10" t="str">
        <f t="shared" si="19"/>
        <v>Completo</v>
      </c>
    </row>
    <row r="206" spans="1:18" x14ac:dyDescent="0.3">
      <c r="A206" s="4" t="s">
        <v>281</v>
      </c>
      <c r="B206" s="5">
        <v>45352</v>
      </c>
      <c r="C206" s="5">
        <v>45364</v>
      </c>
      <c r="D206" s="5">
        <v>45360</v>
      </c>
      <c r="E206" s="6" t="s">
        <v>24</v>
      </c>
      <c r="F206" s="6" t="s">
        <v>116</v>
      </c>
      <c r="G206" s="6" t="s">
        <v>21</v>
      </c>
      <c r="H206" s="6" t="s">
        <v>81</v>
      </c>
      <c r="I206" s="7">
        <v>1625</v>
      </c>
      <c r="J206" s="7">
        <v>1625</v>
      </c>
      <c r="K206" s="8">
        <v>124.36</v>
      </c>
      <c r="L206" s="8">
        <v>110.51</v>
      </c>
      <c r="M206" s="8">
        <f t="shared" si="15"/>
        <v>202085</v>
      </c>
      <c r="N206" s="8">
        <f t="shared" si="15"/>
        <v>179578.75</v>
      </c>
      <c r="O206" s="8">
        <f t="shared" si="16"/>
        <v>22506.25</v>
      </c>
      <c r="P206" s="7">
        <f t="shared" si="17"/>
        <v>8</v>
      </c>
      <c r="Q206" s="9" t="str">
        <f t="shared" si="18"/>
        <v>No Prazo</v>
      </c>
      <c r="R206" s="10" t="str">
        <f t="shared" si="19"/>
        <v>Completo</v>
      </c>
    </row>
    <row r="207" spans="1:18" x14ac:dyDescent="0.3">
      <c r="A207" s="4" t="s">
        <v>282</v>
      </c>
      <c r="B207" s="5">
        <v>45368</v>
      </c>
      <c r="C207" s="5">
        <v>45381</v>
      </c>
      <c r="D207" s="5">
        <v>45390</v>
      </c>
      <c r="E207" s="6" t="s">
        <v>29</v>
      </c>
      <c r="F207" s="6" t="s">
        <v>33</v>
      </c>
      <c r="G207" s="6" t="s">
        <v>26</v>
      </c>
      <c r="H207" s="6" t="s">
        <v>88</v>
      </c>
      <c r="I207" s="7">
        <v>1425</v>
      </c>
      <c r="J207" s="7">
        <v>1425</v>
      </c>
      <c r="K207" s="8">
        <v>470.18</v>
      </c>
      <c r="L207" s="8">
        <v>437.15</v>
      </c>
      <c r="M207" s="8">
        <f t="shared" si="15"/>
        <v>670006.5</v>
      </c>
      <c r="N207" s="8">
        <f t="shared" si="15"/>
        <v>622938.75</v>
      </c>
      <c r="O207" s="8">
        <f t="shared" si="16"/>
        <v>47067.75</v>
      </c>
      <c r="P207" s="7">
        <f t="shared" si="17"/>
        <v>22</v>
      </c>
      <c r="Q207" s="9" t="str">
        <f t="shared" si="18"/>
        <v>Com Atraso</v>
      </c>
      <c r="R207" s="10" t="str">
        <f t="shared" si="19"/>
        <v>Completo</v>
      </c>
    </row>
    <row r="208" spans="1:18" x14ac:dyDescent="0.3">
      <c r="A208" s="4" t="s">
        <v>283</v>
      </c>
      <c r="B208" s="5">
        <v>45373</v>
      </c>
      <c r="C208" s="5">
        <v>45384</v>
      </c>
      <c r="D208" s="5">
        <v>45386</v>
      </c>
      <c r="E208" s="6" t="s">
        <v>37</v>
      </c>
      <c r="F208" s="6" t="s">
        <v>41</v>
      </c>
      <c r="G208" s="6" t="s">
        <v>51</v>
      </c>
      <c r="H208" s="6" t="s">
        <v>57</v>
      </c>
      <c r="I208" s="7">
        <v>1435</v>
      </c>
      <c r="J208" s="7">
        <v>1435</v>
      </c>
      <c r="K208" s="8">
        <v>31.95</v>
      </c>
      <c r="L208" s="8">
        <v>32.020000000000003</v>
      </c>
      <c r="M208" s="8">
        <f t="shared" si="15"/>
        <v>45848.25</v>
      </c>
      <c r="N208" s="8">
        <f t="shared" si="15"/>
        <v>45948.700000000004</v>
      </c>
      <c r="O208" s="8">
        <f t="shared" si="16"/>
        <v>-100.45000000000437</v>
      </c>
      <c r="P208" s="7">
        <f t="shared" si="17"/>
        <v>13</v>
      </c>
      <c r="Q208" s="9" t="str">
        <f t="shared" si="18"/>
        <v>Com Atraso</v>
      </c>
      <c r="R208" s="10" t="str">
        <f t="shared" si="19"/>
        <v>Completo</v>
      </c>
    </row>
    <row r="209" spans="1:18" x14ac:dyDescent="0.3">
      <c r="A209" s="4" t="s">
        <v>284</v>
      </c>
      <c r="B209" s="5">
        <v>45376</v>
      </c>
      <c r="C209" s="5">
        <v>45396</v>
      </c>
      <c r="D209" s="5">
        <v>45392</v>
      </c>
      <c r="E209" s="6" t="s">
        <v>29</v>
      </c>
      <c r="F209" s="6" t="s">
        <v>63</v>
      </c>
      <c r="G209" s="6" t="s">
        <v>64</v>
      </c>
      <c r="H209" s="6" t="s">
        <v>35</v>
      </c>
      <c r="I209" s="7">
        <v>920</v>
      </c>
      <c r="J209" s="7">
        <v>920</v>
      </c>
      <c r="K209" s="8">
        <v>36.520000000000003</v>
      </c>
      <c r="L209" s="8">
        <v>37.979999999999997</v>
      </c>
      <c r="M209" s="8">
        <f t="shared" si="15"/>
        <v>33598.400000000001</v>
      </c>
      <c r="N209" s="8">
        <f t="shared" si="15"/>
        <v>34941.599999999999</v>
      </c>
      <c r="O209" s="8">
        <f t="shared" si="16"/>
        <v>-1343.1999999999971</v>
      </c>
      <c r="P209" s="7">
        <f t="shared" si="17"/>
        <v>16</v>
      </c>
      <c r="Q209" s="9" t="str">
        <f t="shared" si="18"/>
        <v>No Prazo</v>
      </c>
      <c r="R209" s="10" t="str">
        <f t="shared" si="19"/>
        <v>Completo</v>
      </c>
    </row>
    <row r="210" spans="1:18" x14ac:dyDescent="0.3">
      <c r="A210" s="4" t="s">
        <v>285</v>
      </c>
      <c r="B210" s="5">
        <v>45378</v>
      </c>
      <c r="C210" s="5">
        <v>45388</v>
      </c>
      <c r="D210" s="5">
        <v>45387</v>
      </c>
      <c r="E210" s="6" t="s">
        <v>19</v>
      </c>
      <c r="F210" s="6" t="s">
        <v>20</v>
      </c>
      <c r="G210" s="6" t="s">
        <v>21</v>
      </c>
      <c r="H210" s="6" t="s">
        <v>35</v>
      </c>
      <c r="I210" s="7">
        <v>1675</v>
      </c>
      <c r="J210" s="7">
        <v>1675</v>
      </c>
      <c r="K210" s="8">
        <v>442.21</v>
      </c>
      <c r="L210" s="8">
        <v>459.11</v>
      </c>
      <c r="M210" s="8">
        <f t="shared" si="15"/>
        <v>740701.75</v>
      </c>
      <c r="N210" s="8">
        <f t="shared" si="15"/>
        <v>769009.25</v>
      </c>
      <c r="O210" s="8">
        <f t="shared" si="16"/>
        <v>-28307.5</v>
      </c>
      <c r="P210" s="7">
        <f t="shared" si="17"/>
        <v>9</v>
      </c>
      <c r="Q210" s="9" t="str">
        <f t="shared" si="18"/>
        <v>No Prazo</v>
      </c>
      <c r="R210" s="10" t="str">
        <f t="shared" si="19"/>
        <v>Completo</v>
      </c>
    </row>
    <row r="211" spans="1:18" x14ac:dyDescent="0.3">
      <c r="A211" s="4" t="s">
        <v>286</v>
      </c>
      <c r="B211" s="5">
        <v>45395</v>
      </c>
      <c r="C211" s="5">
        <v>45401</v>
      </c>
      <c r="D211" s="5">
        <v>45399</v>
      </c>
      <c r="E211" s="6" t="s">
        <v>19</v>
      </c>
      <c r="F211" s="6" t="s">
        <v>73</v>
      </c>
      <c r="G211" s="6" t="s">
        <v>51</v>
      </c>
      <c r="H211" s="6" t="s">
        <v>35</v>
      </c>
      <c r="I211" s="7">
        <v>2120</v>
      </c>
      <c r="J211" s="7">
        <v>2120</v>
      </c>
      <c r="K211" s="8">
        <v>74.180000000000007</v>
      </c>
      <c r="L211" s="8">
        <v>70.52</v>
      </c>
      <c r="M211" s="8">
        <f t="shared" si="15"/>
        <v>157261.6</v>
      </c>
      <c r="N211" s="8">
        <f t="shared" si="15"/>
        <v>149502.39999999999</v>
      </c>
      <c r="O211" s="8">
        <f t="shared" si="16"/>
        <v>7759.2000000000116</v>
      </c>
      <c r="P211" s="7">
        <f t="shared" si="17"/>
        <v>4</v>
      </c>
      <c r="Q211" s="9" t="str">
        <f t="shared" si="18"/>
        <v>No Prazo</v>
      </c>
      <c r="R211" s="10" t="str">
        <f t="shared" si="19"/>
        <v>Completo</v>
      </c>
    </row>
    <row r="212" spans="1:18" x14ac:dyDescent="0.3">
      <c r="A212" s="4" t="s">
        <v>287</v>
      </c>
      <c r="B212" s="5">
        <v>45413</v>
      </c>
      <c r="C212" s="5">
        <v>45419</v>
      </c>
      <c r="D212" s="5">
        <v>45420</v>
      </c>
      <c r="E212" s="6" t="s">
        <v>44</v>
      </c>
      <c r="F212" s="6" t="s">
        <v>45</v>
      </c>
      <c r="G212" s="6" t="s">
        <v>21</v>
      </c>
      <c r="H212" s="6" t="s">
        <v>27</v>
      </c>
      <c r="I212" s="7">
        <v>1645</v>
      </c>
      <c r="J212" s="7">
        <v>1645</v>
      </c>
      <c r="K212" s="8">
        <v>295.39999999999998</v>
      </c>
      <c r="L212" s="8">
        <v>302.26</v>
      </c>
      <c r="M212" s="8">
        <f t="shared" si="15"/>
        <v>485932.99999999994</v>
      </c>
      <c r="N212" s="8">
        <f t="shared" si="15"/>
        <v>497217.7</v>
      </c>
      <c r="O212" s="8">
        <f t="shared" si="16"/>
        <v>-11284.70000000007</v>
      </c>
      <c r="P212" s="7">
        <f t="shared" si="17"/>
        <v>7</v>
      </c>
      <c r="Q212" s="9" t="str">
        <f t="shared" si="18"/>
        <v>Com Atraso</v>
      </c>
      <c r="R212" s="10" t="str">
        <f t="shared" si="19"/>
        <v>Completo</v>
      </c>
    </row>
    <row r="213" spans="1:18" x14ac:dyDescent="0.3">
      <c r="A213" s="4" t="s">
        <v>288</v>
      </c>
      <c r="B213" s="5">
        <v>45420</v>
      </c>
      <c r="C213" s="5">
        <v>45430</v>
      </c>
      <c r="D213" s="5">
        <v>45429</v>
      </c>
      <c r="E213" s="6" t="s">
        <v>29</v>
      </c>
      <c r="F213" s="6" t="s">
        <v>63</v>
      </c>
      <c r="G213" s="6" t="s">
        <v>51</v>
      </c>
      <c r="H213" s="6" t="s">
        <v>48</v>
      </c>
      <c r="I213" s="7">
        <v>2330</v>
      </c>
      <c r="J213" s="7">
        <v>2330</v>
      </c>
      <c r="K213" s="8">
        <v>400.79</v>
      </c>
      <c r="L213" s="8">
        <v>390.02</v>
      </c>
      <c r="M213" s="8">
        <f t="shared" si="15"/>
        <v>933840.70000000007</v>
      </c>
      <c r="N213" s="8">
        <f t="shared" si="15"/>
        <v>908746.6</v>
      </c>
      <c r="O213" s="8">
        <f t="shared" si="16"/>
        <v>25094.100000000093</v>
      </c>
      <c r="P213" s="7">
        <f t="shared" si="17"/>
        <v>9</v>
      </c>
      <c r="Q213" s="9" t="str">
        <f t="shared" si="18"/>
        <v>No Prazo</v>
      </c>
      <c r="R213" s="10" t="str">
        <f t="shared" si="19"/>
        <v>Completo</v>
      </c>
    </row>
    <row r="214" spans="1:18" x14ac:dyDescent="0.3">
      <c r="A214" s="4" t="s">
        <v>289</v>
      </c>
      <c r="B214" s="5">
        <v>45420</v>
      </c>
      <c r="C214" s="5">
        <v>45437</v>
      </c>
      <c r="D214" s="5">
        <v>45437</v>
      </c>
      <c r="E214" s="6" t="s">
        <v>19</v>
      </c>
      <c r="F214" s="6" t="s">
        <v>47</v>
      </c>
      <c r="G214" s="6" t="s">
        <v>34</v>
      </c>
      <c r="H214" s="6" t="s">
        <v>27</v>
      </c>
      <c r="I214" s="7">
        <v>745</v>
      </c>
      <c r="J214" s="7">
        <v>745</v>
      </c>
      <c r="K214" s="8">
        <v>223.13</v>
      </c>
      <c r="L214" s="8">
        <v>205.01</v>
      </c>
      <c r="M214" s="8">
        <f t="shared" si="15"/>
        <v>166231.85</v>
      </c>
      <c r="N214" s="8">
        <f t="shared" si="15"/>
        <v>152732.44999999998</v>
      </c>
      <c r="O214" s="8">
        <f t="shared" si="16"/>
        <v>13499.400000000023</v>
      </c>
      <c r="P214" s="7">
        <f t="shared" si="17"/>
        <v>17</v>
      </c>
      <c r="Q214" s="9" t="str">
        <f t="shared" si="18"/>
        <v>No Prazo</v>
      </c>
      <c r="R214" s="10" t="str">
        <f t="shared" si="19"/>
        <v>Completo</v>
      </c>
    </row>
    <row r="215" spans="1:18" x14ac:dyDescent="0.3">
      <c r="A215" s="4" t="s">
        <v>290</v>
      </c>
      <c r="B215" s="5">
        <v>45421</v>
      </c>
      <c r="C215" s="5">
        <v>45426</v>
      </c>
      <c r="D215" s="5">
        <v>45424</v>
      </c>
      <c r="E215" s="6" t="s">
        <v>37</v>
      </c>
      <c r="F215" s="6" t="s">
        <v>41</v>
      </c>
      <c r="G215" s="6" t="s">
        <v>21</v>
      </c>
      <c r="H215" s="6" t="s">
        <v>22</v>
      </c>
      <c r="I215" s="7">
        <v>1430</v>
      </c>
      <c r="J215" s="7">
        <v>1430</v>
      </c>
      <c r="K215" s="8">
        <v>94.08</v>
      </c>
      <c r="L215" s="8">
        <v>93.36</v>
      </c>
      <c r="M215" s="8">
        <f t="shared" si="15"/>
        <v>134534.39999999999</v>
      </c>
      <c r="N215" s="8">
        <f t="shared" si="15"/>
        <v>133504.79999999999</v>
      </c>
      <c r="O215" s="8">
        <f t="shared" si="16"/>
        <v>1029.6000000000058</v>
      </c>
      <c r="P215" s="7">
        <f t="shared" si="17"/>
        <v>3</v>
      </c>
      <c r="Q215" s="9" t="str">
        <f t="shared" si="18"/>
        <v>No Prazo</v>
      </c>
      <c r="R215" s="10" t="str">
        <f t="shared" si="19"/>
        <v>Completo</v>
      </c>
    </row>
    <row r="216" spans="1:18" x14ac:dyDescent="0.3">
      <c r="A216" s="4" t="s">
        <v>291</v>
      </c>
      <c r="B216" s="5">
        <v>45422</v>
      </c>
      <c r="C216" s="5">
        <v>45427</v>
      </c>
      <c r="D216" s="5">
        <v>45423</v>
      </c>
      <c r="E216" s="6" t="s">
        <v>37</v>
      </c>
      <c r="F216" s="6" t="s">
        <v>231</v>
      </c>
      <c r="G216" s="6" t="s">
        <v>64</v>
      </c>
      <c r="H216" s="6" t="s">
        <v>88</v>
      </c>
      <c r="I216" s="7">
        <v>1245</v>
      </c>
      <c r="J216" s="7">
        <v>1245</v>
      </c>
      <c r="K216" s="8">
        <v>466.48</v>
      </c>
      <c r="L216" s="8">
        <v>478.76</v>
      </c>
      <c r="M216" s="8">
        <f t="shared" si="15"/>
        <v>580767.6</v>
      </c>
      <c r="N216" s="8">
        <f t="shared" si="15"/>
        <v>596056.19999999995</v>
      </c>
      <c r="O216" s="8">
        <f t="shared" si="16"/>
        <v>-15288.599999999977</v>
      </c>
      <c r="P216" s="7">
        <f t="shared" si="17"/>
        <v>1</v>
      </c>
      <c r="Q216" s="9" t="str">
        <f t="shared" si="18"/>
        <v>No Prazo</v>
      </c>
      <c r="R216" s="10" t="str">
        <f t="shared" si="19"/>
        <v>Completo</v>
      </c>
    </row>
    <row r="217" spans="1:18" x14ac:dyDescent="0.3">
      <c r="A217" s="4" t="s">
        <v>292</v>
      </c>
      <c r="B217" s="5">
        <v>45422</v>
      </c>
      <c r="C217" s="5">
        <v>45440</v>
      </c>
      <c r="D217" s="5">
        <v>45439</v>
      </c>
      <c r="E217" s="6" t="s">
        <v>37</v>
      </c>
      <c r="F217" s="6" t="s">
        <v>156</v>
      </c>
      <c r="G217" s="6" t="s">
        <v>21</v>
      </c>
      <c r="H217" s="6" t="s">
        <v>22</v>
      </c>
      <c r="I217" s="7">
        <v>1980</v>
      </c>
      <c r="J217" s="7">
        <v>1980</v>
      </c>
      <c r="K217" s="8">
        <v>327.58</v>
      </c>
      <c r="L217" s="8">
        <v>303.42</v>
      </c>
      <c r="M217" s="8">
        <f t="shared" si="15"/>
        <v>648608.4</v>
      </c>
      <c r="N217" s="8">
        <f t="shared" si="15"/>
        <v>600771.6</v>
      </c>
      <c r="O217" s="8">
        <f t="shared" si="16"/>
        <v>47836.800000000047</v>
      </c>
      <c r="P217" s="7">
        <f t="shared" si="17"/>
        <v>17</v>
      </c>
      <c r="Q217" s="9" t="str">
        <f t="shared" si="18"/>
        <v>No Prazo</v>
      </c>
      <c r="R217" s="10" t="str">
        <f t="shared" si="19"/>
        <v>Completo</v>
      </c>
    </row>
    <row r="218" spans="1:18" x14ac:dyDescent="0.3">
      <c r="A218" s="4" t="s">
        <v>293</v>
      </c>
      <c r="B218" s="5">
        <v>45434</v>
      </c>
      <c r="C218" s="5">
        <v>45453</v>
      </c>
      <c r="D218" s="5">
        <v>45453</v>
      </c>
      <c r="E218" s="6" t="s">
        <v>44</v>
      </c>
      <c r="F218" s="6" t="s">
        <v>69</v>
      </c>
      <c r="G218" s="6" t="s">
        <v>51</v>
      </c>
      <c r="H218" s="6" t="s">
        <v>31</v>
      </c>
      <c r="I218" s="7">
        <v>165</v>
      </c>
      <c r="J218" s="7">
        <v>165</v>
      </c>
      <c r="K218" s="8">
        <v>346.1</v>
      </c>
      <c r="L218" s="8">
        <v>351.87</v>
      </c>
      <c r="M218" s="8">
        <f t="shared" si="15"/>
        <v>57106.500000000007</v>
      </c>
      <c r="N218" s="8">
        <f t="shared" si="15"/>
        <v>58058.55</v>
      </c>
      <c r="O218" s="8">
        <f t="shared" si="16"/>
        <v>-952.04999999999563</v>
      </c>
      <c r="P218" s="7">
        <f t="shared" si="17"/>
        <v>19</v>
      </c>
      <c r="Q218" s="9" t="str">
        <f t="shared" si="18"/>
        <v>No Prazo</v>
      </c>
      <c r="R218" s="10" t="str">
        <f t="shared" si="19"/>
        <v>Completo</v>
      </c>
    </row>
    <row r="219" spans="1:18" x14ac:dyDescent="0.3">
      <c r="A219" s="4" t="s">
        <v>294</v>
      </c>
      <c r="B219" s="5">
        <v>45441</v>
      </c>
      <c r="C219" s="5">
        <v>45458</v>
      </c>
      <c r="D219" s="5">
        <v>45455</v>
      </c>
      <c r="E219" s="6" t="s">
        <v>44</v>
      </c>
      <c r="F219" s="6" t="s">
        <v>61</v>
      </c>
      <c r="G219" s="6" t="s">
        <v>21</v>
      </c>
      <c r="H219" s="6" t="s">
        <v>53</v>
      </c>
      <c r="I219" s="7">
        <v>325</v>
      </c>
      <c r="J219" s="7">
        <v>325</v>
      </c>
      <c r="K219" s="8">
        <v>446.75</v>
      </c>
      <c r="L219" s="8">
        <v>436.87</v>
      </c>
      <c r="M219" s="8">
        <f t="shared" si="15"/>
        <v>145193.75</v>
      </c>
      <c r="N219" s="8">
        <f t="shared" si="15"/>
        <v>141982.75</v>
      </c>
      <c r="O219" s="8">
        <f t="shared" si="16"/>
        <v>3211</v>
      </c>
      <c r="P219" s="7">
        <f t="shared" si="17"/>
        <v>14</v>
      </c>
      <c r="Q219" s="9" t="str">
        <f t="shared" si="18"/>
        <v>No Prazo</v>
      </c>
      <c r="R219" s="10" t="str">
        <f t="shared" si="19"/>
        <v>Completo</v>
      </c>
    </row>
    <row r="220" spans="1:18" x14ac:dyDescent="0.3">
      <c r="A220" s="4" t="s">
        <v>295</v>
      </c>
      <c r="B220" s="5">
        <v>45449</v>
      </c>
      <c r="C220" s="5">
        <v>45462</v>
      </c>
      <c r="D220" s="5">
        <v>45458</v>
      </c>
      <c r="E220" s="6" t="s">
        <v>66</v>
      </c>
      <c r="F220" s="6" t="s">
        <v>141</v>
      </c>
      <c r="G220" s="6" t="s">
        <v>51</v>
      </c>
      <c r="H220" s="6" t="s">
        <v>27</v>
      </c>
      <c r="I220" s="7">
        <v>665</v>
      </c>
      <c r="J220" s="7">
        <v>665</v>
      </c>
      <c r="K220" s="8">
        <v>285.13</v>
      </c>
      <c r="L220" s="8">
        <v>262.17</v>
      </c>
      <c r="M220" s="8">
        <f t="shared" si="15"/>
        <v>189611.44999999998</v>
      </c>
      <c r="N220" s="8">
        <f t="shared" si="15"/>
        <v>174343.05000000002</v>
      </c>
      <c r="O220" s="8">
        <f t="shared" si="16"/>
        <v>15268.399999999965</v>
      </c>
      <c r="P220" s="7">
        <f t="shared" si="17"/>
        <v>9</v>
      </c>
      <c r="Q220" s="9" t="str">
        <f t="shared" si="18"/>
        <v>No Prazo</v>
      </c>
      <c r="R220" s="10" t="str">
        <f t="shared" si="19"/>
        <v>Completo</v>
      </c>
    </row>
    <row r="221" spans="1:18" x14ac:dyDescent="0.3">
      <c r="A221" s="4" t="s">
        <v>296</v>
      </c>
      <c r="B221" s="5">
        <v>45461</v>
      </c>
      <c r="C221" s="5">
        <v>45481</v>
      </c>
      <c r="D221" s="5">
        <v>45489</v>
      </c>
      <c r="E221" s="6" t="s">
        <v>19</v>
      </c>
      <c r="F221" s="6" t="s">
        <v>120</v>
      </c>
      <c r="G221" s="6" t="s">
        <v>21</v>
      </c>
      <c r="H221" s="6" t="s">
        <v>57</v>
      </c>
      <c r="I221" s="7">
        <v>2440</v>
      </c>
      <c r="J221" s="7">
        <v>2440</v>
      </c>
      <c r="K221" s="8">
        <v>158.69</v>
      </c>
      <c r="L221" s="8">
        <v>160.22999999999999</v>
      </c>
      <c r="M221" s="8">
        <f t="shared" si="15"/>
        <v>387203.6</v>
      </c>
      <c r="N221" s="8">
        <f t="shared" si="15"/>
        <v>390961.19999999995</v>
      </c>
      <c r="O221" s="8">
        <f t="shared" si="16"/>
        <v>-3757.5999999999767</v>
      </c>
      <c r="P221" s="7">
        <f t="shared" si="17"/>
        <v>28</v>
      </c>
      <c r="Q221" s="9" t="str">
        <f t="shared" si="18"/>
        <v>Com Atraso</v>
      </c>
      <c r="R221" s="10" t="str">
        <f t="shared" si="19"/>
        <v>Completo</v>
      </c>
    </row>
    <row r="222" spans="1:18" x14ac:dyDescent="0.3">
      <c r="A222" s="4" t="s">
        <v>297</v>
      </c>
      <c r="B222" s="5">
        <v>45465</v>
      </c>
      <c r="C222" s="5">
        <v>45473</v>
      </c>
      <c r="D222" s="5">
        <v>45471</v>
      </c>
      <c r="E222" s="6" t="s">
        <v>37</v>
      </c>
      <c r="F222" s="6" t="s">
        <v>38</v>
      </c>
      <c r="G222" s="6" t="s">
        <v>26</v>
      </c>
      <c r="H222" s="6" t="s">
        <v>42</v>
      </c>
      <c r="I222" s="7">
        <v>1960</v>
      </c>
      <c r="J222" s="7">
        <v>1960</v>
      </c>
      <c r="K222" s="8">
        <v>469.87</v>
      </c>
      <c r="L222" s="8">
        <v>474.22</v>
      </c>
      <c r="M222" s="8">
        <f t="shared" si="15"/>
        <v>920945.2</v>
      </c>
      <c r="N222" s="8">
        <f t="shared" si="15"/>
        <v>929471.20000000007</v>
      </c>
      <c r="O222" s="8">
        <f t="shared" si="16"/>
        <v>-8526.0000000001164</v>
      </c>
      <c r="P222" s="7">
        <f t="shared" si="17"/>
        <v>6</v>
      </c>
      <c r="Q222" s="9" t="str">
        <f t="shared" si="18"/>
        <v>No Prazo</v>
      </c>
      <c r="R222" s="10" t="str">
        <f t="shared" si="19"/>
        <v>Completo</v>
      </c>
    </row>
    <row r="223" spans="1:18" x14ac:dyDescent="0.3">
      <c r="A223" s="4" t="s">
        <v>298</v>
      </c>
      <c r="B223" s="5">
        <v>45469</v>
      </c>
      <c r="C223" s="5">
        <v>45484</v>
      </c>
      <c r="D223" s="5">
        <v>45483</v>
      </c>
      <c r="E223" s="6" t="s">
        <v>37</v>
      </c>
      <c r="F223" s="6" t="s">
        <v>231</v>
      </c>
      <c r="G223" s="6" t="s">
        <v>51</v>
      </c>
      <c r="H223" s="6" t="s">
        <v>88</v>
      </c>
      <c r="I223" s="7">
        <v>1385</v>
      </c>
      <c r="J223" s="7">
        <v>1385</v>
      </c>
      <c r="K223" s="8">
        <v>134.41</v>
      </c>
      <c r="L223" s="8">
        <v>133.58000000000001</v>
      </c>
      <c r="M223" s="8">
        <f t="shared" si="15"/>
        <v>186157.85</v>
      </c>
      <c r="N223" s="8">
        <f t="shared" si="15"/>
        <v>185008.30000000002</v>
      </c>
      <c r="O223" s="8">
        <f t="shared" si="16"/>
        <v>1149.5499999999884</v>
      </c>
      <c r="P223" s="7">
        <f t="shared" si="17"/>
        <v>14</v>
      </c>
      <c r="Q223" s="9" t="str">
        <f t="shared" si="18"/>
        <v>No Prazo</v>
      </c>
      <c r="R223" s="10" t="str">
        <f t="shared" si="19"/>
        <v>Completo</v>
      </c>
    </row>
    <row r="224" spans="1:18" x14ac:dyDescent="0.3">
      <c r="A224" s="4" t="s">
        <v>299</v>
      </c>
      <c r="B224" s="5">
        <v>45477</v>
      </c>
      <c r="C224" s="5">
        <v>45493</v>
      </c>
      <c r="D224" s="5">
        <v>45490</v>
      </c>
      <c r="E224" s="6" t="s">
        <v>24</v>
      </c>
      <c r="F224" s="6" t="s">
        <v>25</v>
      </c>
      <c r="G224" s="6" t="s">
        <v>34</v>
      </c>
      <c r="H224" s="6" t="s">
        <v>22</v>
      </c>
      <c r="I224" s="7">
        <v>295</v>
      </c>
      <c r="J224" s="7">
        <v>295</v>
      </c>
      <c r="K224" s="8">
        <v>384.11</v>
      </c>
      <c r="L224" s="8">
        <v>360.16</v>
      </c>
      <c r="M224" s="8">
        <f t="shared" si="15"/>
        <v>113312.45</v>
      </c>
      <c r="N224" s="8">
        <f t="shared" si="15"/>
        <v>106247.20000000001</v>
      </c>
      <c r="O224" s="8">
        <f t="shared" si="16"/>
        <v>7065.2499999999854</v>
      </c>
      <c r="P224" s="7">
        <f t="shared" si="17"/>
        <v>13</v>
      </c>
      <c r="Q224" s="9" t="str">
        <f t="shared" si="18"/>
        <v>No Prazo</v>
      </c>
      <c r="R224" s="10" t="str">
        <f t="shared" si="19"/>
        <v>Completo</v>
      </c>
    </row>
    <row r="225" spans="1:18" x14ac:dyDescent="0.3">
      <c r="A225" s="4" t="s">
        <v>300</v>
      </c>
      <c r="B225" s="5">
        <v>45488</v>
      </c>
      <c r="C225" s="5">
        <v>45495</v>
      </c>
      <c r="D225" s="5">
        <v>45497</v>
      </c>
      <c r="E225" s="6" t="s">
        <v>44</v>
      </c>
      <c r="F225" s="6" t="s">
        <v>127</v>
      </c>
      <c r="G225" s="6" t="s">
        <v>51</v>
      </c>
      <c r="H225" s="6" t="s">
        <v>42</v>
      </c>
      <c r="I225" s="7">
        <v>1850</v>
      </c>
      <c r="J225" s="7">
        <v>1850</v>
      </c>
      <c r="K225" s="8">
        <v>321.64</v>
      </c>
      <c r="L225" s="8">
        <v>325.31</v>
      </c>
      <c r="M225" s="8">
        <f t="shared" si="15"/>
        <v>595034</v>
      </c>
      <c r="N225" s="8">
        <f t="shared" si="15"/>
        <v>601823.5</v>
      </c>
      <c r="O225" s="8">
        <f t="shared" si="16"/>
        <v>-6789.5</v>
      </c>
      <c r="P225" s="7">
        <f t="shared" si="17"/>
        <v>9</v>
      </c>
      <c r="Q225" s="9" t="str">
        <f t="shared" si="18"/>
        <v>Com Atraso</v>
      </c>
      <c r="R225" s="10" t="str">
        <f t="shared" si="19"/>
        <v>Completo</v>
      </c>
    </row>
    <row r="226" spans="1:18" x14ac:dyDescent="0.3">
      <c r="A226" s="4" t="s">
        <v>301</v>
      </c>
      <c r="B226" s="5">
        <v>45495</v>
      </c>
      <c r="C226" s="5">
        <v>45513</v>
      </c>
      <c r="D226" s="5">
        <v>45509</v>
      </c>
      <c r="E226" s="6" t="s">
        <v>44</v>
      </c>
      <c r="F226" s="6" t="s">
        <v>78</v>
      </c>
      <c r="G226" s="6" t="s">
        <v>21</v>
      </c>
      <c r="H226" s="6" t="s">
        <v>48</v>
      </c>
      <c r="I226" s="7">
        <v>415</v>
      </c>
      <c r="J226" s="7">
        <v>415</v>
      </c>
      <c r="K226" s="8">
        <v>13.23</v>
      </c>
      <c r="L226" s="8">
        <v>12.44</v>
      </c>
      <c r="M226" s="8">
        <f t="shared" si="15"/>
        <v>5490.45</v>
      </c>
      <c r="N226" s="8">
        <f t="shared" si="15"/>
        <v>5162.5999999999995</v>
      </c>
      <c r="O226" s="8">
        <f t="shared" si="16"/>
        <v>327.85000000000036</v>
      </c>
      <c r="P226" s="7">
        <f t="shared" si="17"/>
        <v>14</v>
      </c>
      <c r="Q226" s="9" t="str">
        <f t="shared" si="18"/>
        <v>No Prazo</v>
      </c>
      <c r="R226" s="10" t="str">
        <f t="shared" si="19"/>
        <v>Completo</v>
      </c>
    </row>
    <row r="227" spans="1:18" x14ac:dyDescent="0.3">
      <c r="A227" s="4" t="s">
        <v>302</v>
      </c>
      <c r="B227" s="5">
        <v>45510</v>
      </c>
      <c r="C227" s="5">
        <v>45517</v>
      </c>
      <c r="D227" s="5">
        <v>45513</v>
      </c>
      <c r="E227" s="6" t="s">
        <v>37</v>
      </c>
      <c r="F227" s="6" t="s">
        <v>156</v>
      </c>
      <c r="G227" s="6" t="s">
        <v>26</v>
      </c>
      <c r="H227" s="6" t="s">
        <v>42</v>
      </c>
      <c r="I227" s="7">
        <v>620</v>
      </c>
      <c r="J227" s="7">
        <v>620</v>
      </c>
      <c r="K227" s="8">
        <v>60.42</v>
      </c>
      <c r="L227" s="8">
        <v>60.78</v>
      </c>
      <c r="M227" s="8">
        <f t="shared" si="15"/>
        <v>37460.400000000001</v>
      </c>
      <c r="N227" s="8">
        <f t="shared" si="15"/>
        <v>37683.599999999999</v>
      </c>
      <c r="O227" s="8">
        <f t="shared" si="16"/>
        <v>-223.19999999999709</v>
      </c>
      <c r="P227" s="7">
        <f t="shared" si="17"/>
        <v>3</v>
      </c>
      <c r="Q227" s="9" t="str">
        <f t="shared" si="18"/>
        <v>No Prazo</v>
      </c>
      <c r="R227" s="10" t="str">
        <f t="shared" si="19"/>
        <v>Completo</v>
      </c>
    </row>
    <row r="228" spans="1:18" x14ac:dyDescent="0.3">
      <c r="A228" s="4" t="s">
        <v>303</v>
      </c>
      <c r="B228" s="5">
        <v>45516</v>
      </c>
      <c r="C228" s="5">
        <v>45526</v>
      </c>
      <c r="D228" s="5">
        <v>45523</v>
      </c>
      <c r="E228" s="6" t="s">
        <v>37</v>
      </c>
      <c r="F228" s="6" t="s">
        <v>231</v>
      </c>
      <c r="G228" s="6" t="s">
        <v>64</v>
      </c>
      <c r="H228" s="6" t="s">
        <v>27</v>
      </c>
      <c r="I228" s="7">
        <v>1370</v>
      </c>
      <c r="J228" s="7">
        <v>1370</v>
      </c>
      <c r="K228" s="8">
        <v>422.95</v>
      </c>
      <c r="L228" s="8">
        <v>428.3</v>
      </c>
      <c r="M228" s="8">
        <f t="shared" si="15"/>
        <v>579441.5</v>
      </c>
      <c r="N228" s="8">
        <f t="shared" si="15"/>
        <v>586771</v>
      </c>
      <c r="O228" s="8">
        <f t="shared" si="16"/>
        <v>-7329.5</v>
      </c>
      <c r="P228" s="7">
        <f t="shared" si="17"/>
        <v>7</v>
      </c>
      <c r="Q228" s="9" t="str">
        <f t="shared" si="18"/>
        <v>No Prazo</v>
      </c>
      <c r="R228" s="10" t="str">
        <f t="shared" si="19"/>
        <v>Completo</v>
      </c>
    </row>
    <row r="229" spans="1:18" x14ac:dyDescent="0.3">
      <c r="A229" s="4" t="s">
        <v>304</v>
      </c>
      <c r="B229" s="5">
        <v>45527</v>
      </c>
      <c r="C229" s="5">
        <v>45547</v>
      </c>
      <c r="D229" s="5">
        <v>45547</v>
      </c>
      <c r="E229" s="6" t="s">
        <v>66</v>
      </c>
      <c r="F229" s="6" t="s">
        <v>67</v>
      </c>
      <c r="G229" s="6" t="s">
        <v>64</v>
      </c>
      <c r="H229" s="6" t="s">
        <v>48</v>
      </c>
      <c r="I229" s="7">
        <v>795</v>
      </c>
      <c r="J229" s="7">
        <v>795</v>
      </c>
      <c r="K229" s="8">
        <v>140.33000000000001</v>
      </c>
      <c r="L229" s="8">
        <v>143.4</v>
      </c>
      <c r="M229" s="8">
        <f t="shared" si="15"/>
        <v>111562.35</v>
      </c>
      <c r="N229" s="8">
        <f t="shared" si="15"/>
        <v>114003</v>
      </c>
      <c r="O229" s="8">
        <f t="shared" si="16"/>
        <v>-2440.6499999999942</v>
      </c>
      <c r="P229" s="7">
        <f t="shared" si="17"/>
        <v>20</v>
      </c>
      <c r="Q229" s="9" t="str">
        <f t="shared" si="18"/>
        <v>No Prazo</v>
      </c>
      <c r="R229" s="10" t="str">
        <f t="shared" si="19"/>
        <v>Completo</v>
      </c>
    </row>
    <row r="230" spans="1:18" x14ac:dyDescent="0.3">
      <c r="A230" s="4" t="s">
        <v>305</v>
      </c>
      <c r="B230" s="5">
        <v>45530</v>
      </c>
      <c r="C230" s="5">
        <v>45542</v>
      </c>
      <c r="D230" s="5">
        <v>45545</v>
      </c>
      <c r="E230" s="6" t="s">
        <v>19</v>
      </c>
      <c r="F230" s="6" t="s">
        <v>73</v>
      </c>
      <c r="G230" s="6" t="s">
        <v>21</v>
      </c>
      <c r="H230" s="6" t="s">
        <v>31</v>
      </c>
      <c r="I230" s="7">
        <v>2470</v>
      </c>
      <c r="J230" s="7">
        <v>2470</v>
      </c>
      <c r="K230" s="8">
        <v>478.1</v>
      </c>
      <c r="L230" s="8">
        <v>430.17</v>
      </c>
      <c r="M230" s="8">
        <f t="shared" si="15"/>
        <v>1180907</v>
      </c>
      <c r="N230" s="8">
        <f t="shared" si="15"/>
        <v>1062519.9000000001</v>
      </c>
      <c r="O230" s="8">
        <f t="shared" si="16"/>
        <v>118387.09999999986</v>
      </c>
      <c r="P230" s="7">
        <f t="shared" si="17"/>
        <v>15</v>
      </c>
      <c r="Q230" s="9" t="str">
        <f t="shared" si="18"/>
        <v>Com Atraso</v>
      </c>
      <c r="R230" s="10" t="str">
        <f t="shared" si="19"/>
        <v>Completo</v>
      </c>
    </row>
    <row r="231" spans="1:18" x14ac:dyDescent="0.3">
      <c r="A231" s="4" t="s">
        <v>306</v>
      </c>
      <c r="B231" s="5">
        <v>45535</v>
      </c>
      <c r="C231" s="5">
        <v>45550</v>
      </c>
      <c r="D231" s="5">
        <v>45552</v>
      </c>
      <c r="E231" s="6" t="s">
        <v>55</v>
      </c>
      <c r="F231" s="6" t="s">
        <v>56</v>
      </c>
      <c r="G231" s="6" t="s">
        <v>51</v>
      </c>
      <c r="H231" s="6" t="s">
        <v>35</v>
      </c>
      <c r="I231" s="7">
        <v>1330</v>
      </c>
      <c r="J231" s="7">
        <v>1330</v>
      </c>
      <c r="K231" s="8">
        <v>41.43</v>
      </c>
      <c r="L231" s="8">
        <v>37.19</v>
      </c>
      <c r="M231" s="8">
        <f t="shared" si="15"/>
        <v>55101.9</v>
      </c>
      <c r="N231" s="8">
        <f t="shared" si="15"/>
        <v>49462.7</v>
      </c>
      <c r="O231" s="8">
        <f t="shared" si="16"/>
        <v>5639.2000000000044</v>
      </c>
      <c r="P231" s="7">
        <f t="shared" si="17"/>
        <v>17</v>
      </c>
      <c r="Q231" s="9" t="str">
        <f t="shared" si="18"/>
        <v>Com Atraso</v>
      </c>
      <c r="R231" s="10" t="str">
        <f t="shared" si="19"/>
        <v>Completo</v>
      </c>
    </row>
    <row r="232" spans="1:18" x14ac:dyDescent="0.3">
      <c r="A232" s="4" t="s">
        <v>307</v>
      </c>
      <c r="B232" s="5">
        <v>45539</v>
      </c>
      <c r="C232" s="5">
        <v>45547</v>
      </c>
      <c r="D232" s="5">
        <v>45544</v>
      </c>
      <c r="E232" s="6" t="s">
        <v>66</v>
      </c>
      <c r="F232" s="6" t="s">
        <v>67</v>
      </c>
      <c r="G232" s="6" t="s">
        <v>26</v>
      </c>
      <c r="H232" s="6" t="s">
        <v>31</v>
      </c>
      <c r="I232" s="7">
        <v>1200</v>
      </c>
      <c r="J232" s="7">
        <v>1200</v>
      </c>
      <c r="K232" s="8">
        <v>415.58</v>
      </c>
      <c r="L232" s="8">
        <v>371.86</v>
      </c>
      <c r="M232" s="8">
        <f t="shared" si="15"/>
        <v>498696</v>
      </c>
      <c r="N232" s="8">
        <f t="shared" si="15"/>
        <v>446232</v>
      </c>
      <c r="O232" s="8">
        <f t="shared" si="16"/>
        <v>52464</v>
      </c>
      <c r="P232" s="7">
        <f t="shared" si="17"/>
        <v>5</v>
      </c>
      <c r="Q232" s="9" t="str">
        <f t="shared" si="18"/>
        <v>No Prazo</v>
      </c>
      <c r="R232" s="10" t="str">
        <f t="shared" si="19"/>
        <v>Completo</v>
      </c>
    </row>
    <row r="233" spans="1:18" x14ac:dyDescent="0.3">
      <c r="A233" s="4" t="s">
        <v>308</v>
      </c>
      <c r="B233" s="5">
        <v>45543</v>
      </c>
      <c r="C233" s="5">
        <v>45560</v>
      </c>
      <c r="D233" s="5">
        <v>45557</v>
      </c>
      <c r="E233" s="6" t="s">
        <v>66</v>
      </c>
      <c r="F233" s="6" t="s">
        <v>125</v>
      </c>
      <c r="G233" s="6" t="s">
        <v>51</v>
      </c>
      <c r="H233" s="6" t="s">
        <v>42</v>
      </c>
      <c r="I233" s="7">
        <v>1895</v>
      </c>
      <c r="J233" s="7">
        <v>1895</v>
      </c>
      <c r="K233" s="8">
        <v>237.11</v>
      </c>
      <c r="L233" s="8">
        <v>229.79</v>
      </c>
      <c r="M233" s="8">
        <f t="shared" si="15"/>
        <v>449323.45</v>
      </c>
      <c r="N233" s="8">
        <f t="shared" si="15"/>
        <v>435452.05</v>
      </c>
      <c r="O233" s="8">
        <f t="shared" si="16"/>
        <v>13871.400000000023</v>
      </c>
      <c r="P233" s="7">
        <f t="shared" si="17"/>
        <v>14</v>
      </c>
      <c r="Q233" s="9" t="str">
        <f t="shared" si="18"/>
        <v>No Prazo</v>
      </c>
      <c r="R233" s="10" t="str">
        <f t="shared" si="19"/>
        <v>Completo</v>
      </c>
    </row>
    <row r="234" spans="1:18" x14ac:dyDescent="0.3">
      <c r="A234" s="4" t="s">
        <v>309</v>
      </c>
      <c r="B234" s="5">
        <v>45550</v>
      </c>
      <c r="C234" s="5">
        <v>45562</v>
      </c>
      <c r="D234" s="5">
        <v>45559</v>
      </c>
      <c r="E234" s="6" t="s">
        <v>37</v>
      </c>
      <c r="F234" s="6" t="s">
        <v>41</v>
      </c>
      <c r="G234" s="6" t="s">
        <v>51</v>
      </c>
      <c r="H234" s="6" t="s">
        <v>27</v>
      </c>
      <c r="I234" s="7">
        <v>1670</v>
      </c>
      <c r="J234" s="7">
        <v>1670</v>
      </c>
      <c r="K234" s="8">
        <v>56.16</v>
      </c>
      <c r="L234" s="8">
        <v>58.51</v>
      </c>
      <c r="M234" s="8">
        <f t="shared" si="15"/>
        <v>93787.199999999997</v>
      </c>
      <c r="N234" s="8">
        <f t="shared" si="15"/>
        <v>97711.7</v>
      </c>
      <c r="O234" s="8">
        <f t="shared" si="16"/>
        <v>-3924.5</v>
      </c>
      <c r="P234" s="7">
        <f t="shared" si="17"/>
        <v>9</v>
      </c>
      <c r="Q234" s="9" t="str">
        <f t="shared" si="18"/>
        <v>No Prazo</v>
      </c>
      <c r="R234" s="10" t="str">
        <f t="shared" si="19"/>
        <v>Completo</v>
      </c>
    </row>
    <row r="235" spans="1:18" x14ac:dyDescent="0.3">
      <c r="A235" s="4" t="s">
        <v>310</v>
      </c>
      <c r="B235" s="5">
        <v>45554</v>
      </c>
      <c r="C235" s="5">
        <v>45571</v>
      </c>
      <c r="D235" s="5">
        <v>45568</v>
      </c>
      <c r="E235" s="6" t="s">
        <v>19</v>
      </c>
      <c r="F235" s="6" t="s">
        <v>73</v>
      </c>
      <c r="G235" s="6" t="s">
        <v>51</v>
      </c>
      <c r="H235" s="6" t="s">
        <v>53</v>
      </c>
      <c r="I235" s="7">
        <v>2090</v>
      </c>
      <c r="J235" s="7">
        <v>2090</v>
      </c>
      <c r="K235" s="8">
        <v>46.86</v>
      </c>
      <c r="L235" s="8">
        <v>43.37</v>
      </c>
      <c r="M235" s="8">
        <f t="shared" si="15"/>
        <v>97937.4</v>
      </c>
      <c r="N235" s="8">
        <f t="shared" si="15"/>
        <v>90643.299999999988</v>
      </c>
      <c r="O235" s="8">
        <f t="shared" si="16"/>
        <v>7294.1000000000058</v>
      </c>
      <c r="P235" s="7">
        <f t="shared" si="17"/>
        <v>14</v>
      </c>
      <c r="Q235" s="9" t="str">
        <f t="shared" si="18"/>
        <v>No Prazo</v>
      </c>
      <c r="R235" s="10" t="str">
        <f t="shared" si="19"/>
        <v>Completo</v>
      </c>
    </row>
    <row r="236" spans="1:18" x14ac:dyDescent="0.3">
      <c r="A236" s="4" t="s">
        <v>311</v>
      </c>
      <c r="B236" s="5">
        <v>45555</v>
      </c>
      <c r="C236" s="5">
        <v>45573</v>
      </c>
      <c r="D236" s="5">
        <v>45584</v>
      </c>
      <c r="E236" s="6" t="s">
        <v>29</v>
      </c>
      <c r="F236" s="6" t="s">
        <v>113</v>
      </c>
      <c r="G236" s="6" t="s">
        <v>51</v>
      </c>
      <c r="H236" s="6" t="s">
        <v>27</v>
      </c>
      <c r="I236" s="7">
        <v>920</v>
      </c>
      <c r="J236" s="7">
        <v>920</v>
      </c>
      <c r="K236" s="8">
        <v>208.88</v>
      </c>
      <c r="L236" s="8">
        <v>201.22</v>
      </c>
      <c r="M236" s="8">
        <f t="shared" si="15"/>
        <v>192169.60000000001</v>
      </c>
      <c r="N236" s="8">
        <f t="shared" si="15"/>
        <v>185122.4</v>
      </c>
      <c r="O236" s="8">
        <f t="shared" si="16"/>
        <v>7047.2000000000116</v>
      </c>
      <c r="P236" s="7">
        <f t="shared" si="17"/>
        <v>29</v>
      </c>
      <c r="Q236" s="9" t="str">
        <f t="shared" si="18"/>
        <v>Com Atraso</v>
      </c>
      <c r="R236" s="10" t="str">
        <f t="shared" si="19"/>
        <v>Completo</v>
      </c>
    </row>
    <row r="237" spans="1:18" x14ac:dyDescent="0.3">
      <c r="A237" s="4" t="s">
        <v>312</v>
      </c>
      <c r="B237" s="5">
        <v>45561</v>
      </c>
      <c r="C237" s="5">
        <v>45579</v>
      </c>
      <c r="D237" s="5">
        <v>45577</v>
      </c>
      <c r="E237" s="6" t="s">
        <v>29</v>
      </c>
      <c r="F237" s="6" t="s">
        <v>33</v>
      </c>
      <c r="G237" s="6" t="s">
        <v>26</v>
      </c>
      <c r="H237" s="6" t="s">
        <v>27</v>
      </c>
      <c r="I237" s="7">
        <v>2220</v>
      </c>
      <c r="J237" s="7">
        <v>2220</v>
      </c>
      <c r="K237" s="8">
        <v>433.27</v>
      </c>
      <c r="L237" s="8">
        <v>418.63</v>
      </c>
      <c r="M237" s="8">
        <f t="shared" si="15"/>
        <v>961859.39999999991</v>
      </c>
      <c r="N237" s="8">
        <f t="shared" si="15"/>
        <v>929358.6</v>
      </c>
      <c r="O237" s="8">
        <f t="shared" si="16"/>
        <v>32500.79999999993</v>
      </c>
      <c r="P237" s="7">
        <f t="shared" si="17"/>
        <v>16</v>
      </c>
      <c r="Q237" s="9" t="str">
        <f t="shared" si="18"/>
        <v>No Prazo</v>
      </c>
      <c r="R237" s="10" t="str">
        <f t="shared" si="19"/>
        <v>Completo</v>
      </c>
    </row>
    <row r="238" spans="1:18" x14ac:dyDescent="0.3">
      <c r="A238" s="4" t="s">
        <v>313</v>
      </c>
      <c r="B238" s="5">
        <v>45569</v>
      </c>
      <c r="C238" s="5">
        <v>45580</v>
      </c>
      <c r="D238" s="5">
        <v>45578</v>
      </c>
      <c r="E238" s="6" t="s">
        <v>37</v>
      </c>
      <c r="F238" s="6" t="s">
        <v>156</v>
      </c>
      <c r="G238" s="6" t="s">
        <v>64</v>
      </c>
      <c r="H238" s="6" t="s">
        <v>22</v>
      </c>
      <c r="I238" s="7">
        <v>2205</v>
      </c>
      <c r="J238" s="7">
        <v>2205</v>
      </c>
      <c r="K238" s="8">
        <v>44.28</v>
      </c>
      <c r="L238" s="8">
        <v>40.1</v>
      </c>
      <c r="M238" s="8">
        <f t="shared" si="15"/>
        <v>97637.400000000009</v>
      </c>
      <c r="N238" s="8">
        <f t="shared" si="15"/>
        <v>88420.5</v>
      </c>
      <c r="O238" s="8">
        <f t="shared" si="16"/>
        <v>9216.9000000000087</v>
      </c>
      <c r="P238" s="7">
        <f t="shared" si="17"/>
        <v>9</v>
      </c>
      <c r="Q238" s="9" t="str">
        <f t="shared" si="18"/>
        <v>No Prazo</v>
      </c>
      <c r="R238" s="10" t="str">
        <f t="shared" si="19"/>
        <v>Completo</v>
      </c>
    </row>
    <row r="239" spans="1:18" x14ac:dyDescent="0.3">
      <c r="A239" s="4" t="s">
        <v>314</v>
      </c>
      <c r="B239" s="5">
        <v>45576</v>
      </c>
      <c r="C239" s="5">
        <v>45588</v>
      </c>
      <c r="D239" s="5">
        <v>45584</v>
      </c>
      <c r="E239" s="6" t="s">
        <v>24</v>
      </c>
      <c r="F239" s="6" t="s">
        <v>116</v>
      </c>
      <c r="G239" s="6" t="s">
        <v>64</v>
      </c>
      <c r="H239" s="6" t="s">
        <v>59</v>
      </c>
      <c r="I239" s="7">
        <v>1205</v>
      </c>
      <c r="J239" s="7">
        <v>1205</v>
      </c>
      <c r="K239" s="8">
        <v>117.55</v>
      </c>
      <c r="L239" s="8">
        <v>110.2</v>
      </c>
      <c r="M239" s="8">
        <f t="shared" si="15"/>
        <v>141647.75</v>
      </c>
      <c r="N239" s="8">
        <f t="shared" si="15"/>
        <v>132791</v>
      </c>
      <c r="O239" s="8">
        <f t="shared" si="16"/>
        <v>8856.75</v>
      </c>
      <c r="P239" s="7">
        <f t="shared" si="17"/>
        <v>8</v>
      </c>
      <c r="Q239" s="9" t="str">
        <f t="shared" si="18"/>
        <v>No Prazo</v>
      </c>
      <c r="R239" s="10" t="str">
        <f t="shared" si="19"/>
        <v>Completo</v>
      </c>
    </row>
    <row r="240" spans="1:18" x14ac:dyDescent="0.3">
      <c r="A240" s="4" t="s">
        <v>315</v>
      </c>
      <c r="B240" s="5">
        <v>45576</v>
      </c>
      <c r="C240" s="5">
        <v>45587</v>
      </c>
      <c r="D240" s="5">
        <v>45589</v>
      </c>
      <c r="E240" s="6" t="s">
        <v>44</v>
      </c>
      <c r="F240" s="6" t="s">
        <v>45</v>
      </c>
      <c r="G240" s="6" t="s">
        <v>64</v>
      </c>
      <c r="H240" s="6" t="s">
        <v>42</v>
      </c>
      <c r="I240" s="7">
        <v>2275</v>
      </c>
      <c r="J240" s="7">
        <v>1447</v>
      </c>
      <c r="K240" s="8">
        <v>437.45</v>
      </c>
      <c r="L240" s="8">
        <v>400.71</v>
      </c>
      <c r="M240" s="8">
        <f t="shared" si="15"/>
        <v>995198.75</v>
      </c>
      <c r="N240" s="8">
        <f t="shared" si="15"/>
        <v>579827.37</v>
      </c>
      <c r="O240" s="8">
        <f t="shared" si="16"/>
        <v>415371.38</v>
      </c>
      <c r="P240" s="7">
        <f t="shared" si="17"/>
        <v>13</v>
      </c>
      <c r="Q240" s="9" t="str">
        <f t="shared" si="18"/>
        <v>Com Atraso</v>
      </c>
      <c r="R240" s="10" t="str">
        <f t="shared" si="19"/>
        <v>Incompleto</v>
      </c>
    </row>
    <row r="241" spans="1:18" x14ac:dyDescent="0.3">
      <c r="A241" s="4" t="s">
        <v>316</v>
      </c>
      <c r="B241" s="5">
        <v>45582</v>
      </c>
      <c r="C241" s="5">
        <v>45597</v>
      </c>
      <c r="D241" s="5">
        <v>45593</v>
      </c>
      <c r="E241" s="6" t="s">
        <v>66</v>
      </c>
      <c r="F241" s="6" t="s">
        <v>67</v>
      </c>
      <c r="G241" s="6" t="s">
        <v>21</v>
      </c>
      <c r="H241" s="6" t="s">
        <v>88</v>
      </c>
      <c r="I241" s="7">
        <v>2240</v>
      </c>
      <c r="J241" s="7">
        <v>2240</v>
      </c>
      <c r="K241" s="8">
        <v>202.07</v>
      </c>
      <c r="L241" s="8">
        <v>192.51</v>
      </c>
      <c r="M241" s="8">
        <f t="shared" si="15"/>
        <v>452636.8</v>
      </c>
      <c r="N241" s="8">
        <f t="shared" si="15"/>
        <v>431222.39999999997</v>
      </c>
      <c r="O241" s="8">
        <f t="shared" si="16"/>
        <v>21414.400000000023</v>
      </c>
      <c r="P241" s="7">
        <f t="shared" si="17"/>
        <v>11</v>
      </c>
      <c r="Q241" s="9" t="str">
        <f t="shared" si="18"/>
        <v>No Prazo</v>
      </c>
      <c r="R241" s="10" t="str">
        <f t="shared" si="19"/>
        <v>Completo</v>
      </c>
    </row>
    <row r="242" spans="1:18" x14ac:dyDescent="0.3">
      <c r="A242" s="4" t="s">
        <v>317</v>
      </c>
      <c r="B242" s="5">
        <v>45597</v>
      </c>
      <c r="C242" s="5">
        <v>45610</v>
      </c>
      <c r="D242" s="5">
        <v>45613</v>
      </c>
      <c r="E242" s="6" t="s">
        <v>44</v>
      </c>
      <c r="F242" s="6" t="s">
        <v>127</v>
      </c>
      <c r="G242" s="6" t="s">
        <v>26</v>
      </c>
      <c r="H242" s="6" t="s">
        <v>81</v>
      </c>
      <c r="I242" s="7">
        <v>800</v>
      </c>
      <c r="J242" s="7">
        <v>800</v>
      </c>
      <c r="K242" s="8">
        <v>224.62</v>
      </c>
      <c r="L242" s="8">
        <v>234.09</v>
      </c>
      <c r="M242" s="8">
        <f t="shared" si="15"/>
        <v>179696</v>
      </c>
      <c r="N242" s="8">
        <f t="shared" si="15"/>
        <v>187272</v>
      </c>
      <c r="O242" s="8">
        <f t="shared" si="16"/>
        <v>-7576</v>
      </c>
      <c r="P242" s="7">
        <f t="shared" si="17"/>
        <v>16</v>
      </c>
      <c r="Q242" s="9" t="str">
        <f t="shared" si="18"/>
        <v>Com Atraso</v>
      </c>
      <c r="R242" s="10" t="str">
        <f t="shared" si="19"/>
        <v>Completo</v>
      </c>
    </row>
    <row r="243" spans="1:18" x14ac:dyDescent="0.3">
      <c r="A243" s="4" t="s">
        <v>318</v>
      </c>
      <c r="B243" s="5">
        <v>45597</v>
      </c>
      <c r="C243" s="5">
        <v>45609</v>
      </c>
      <c r="D243" s="5">
        <v>45612</v>
      </c>
      <c r="E243" s="6" t="s">
        <v>55</v>
      </c>
      <c r="F243" s="6" t="s">
        <v>135</v>
      </c>
      <c r="G243" s="6" t="s">
        <v>26</v>
      </c>
      <c r="H243" s="6" t="s">
        <v>59</v>
      </c>
      <c r="I243" s="7">
        <v>2310</v>
      </c>
      <c r="J243" s="7">
        <v>2310</v>
      </c>
      <c r="K243" s="8">
        <v>467.77</v>
      </c>
      <c r="L243" s="8">
        <v>471.24</v>
      </c>
      <c r="M243" s="8">
        <f t="shared" si="15"/>
        <v>1080548.7</v>
      </c>
      <c r="N243" s="8">
        <f t="shared" si="15"/>
        <v>1088564.3999999999</v>
      </c>
      <c r="O243" s="8">
        <f t="shared" si="16"/>
        <v>-8015.6999999999534</v>
      </c>
      <c r="P243" s="7">
        <f t="shared" si="17"/>
        <v>15</v>
      </c>
      <c r="Q243" s="9" t="str">
        <f t="shared" si="18"/>
        <v>Com Atraso</v>
      </c>
      <c r="R243" s="10" t="str">
        <f t="shared" si="19"/>
        <v>Completo</v>
      </c>
    </row>
    <row r="244" spans="1:18" x14ac:dyDescent="0.3">
      <c r="A244" s="4" t="s">
        <v>319</v>
      </c>
      <c r="B244" s="5">
        <v>45602</v>
      </c>
      <c r="C244" s="5">
        <v>45613</v>
      </c>
      <c r="D244" s="5">
        <v>45612</v>
      </c>
      <c r="E244" s="6" t="s">
        <v>29</v>
      </c>
      <c r="F244" s="6" t="s">
        <v>33</v>
      </c>
      <c r="G244" s="6" t="s">
        <v>51</v>
      </c>
      <c r="H244" s="6" t="s">
        <v>27</v>
      </c>
      <c r="I244" s="7">
        <v>130</v>
      </c>
      <c r="J244" s="7">
        <v>130</v>
      </c>
      <c r="K244" s="8">
        <v>410.07</v>
      </c>
      <c r="L244" s="8">
        <v>361.95</v>
      </c>
      <c r="M244" s="8">
        <f t="shared" si="15"/>
        <v>53309.1</v>
      </c>
      <c r="N244" s="8">
        <f t="shared" si="15"/>
        <v>47053.5</v>
      </c>
      <c r="O244" s="8">
        <f t="shared" si="16"/>
        <v>6255.5999999999985</v>
      </c>
      <c r="P244" s="7">
        <f t="shared" si="17"/>
        <v>10</v>
      </c>
      <c r="Q244" s="9" t="str">
        <f t="shared" si="18"/>
        <v>No Prazo</v>
      </c>
      <c r="R244" s="10" t="str">
        <f t="shared" si="19"/>
        <v>Completo</v>
      </c>
    </row>
    <row r="245" spans="1:18" x14ac:dyDescent="0.3">
      <c r="A245" s="4" t="s">
        <v>320</v>
      </c>
      <c r="B245" s="5">
        <v>45611</v>
      </c>
      <c r="C245" s="5">
        <v>45629</v>
      </c>
      <c r="D245" s="5">
        <v>45629</v>
      </c>
      <c r="E245" s="6" t="s">
        <v>29</v>
      </c>
      <c r="F245" s="6" t="s">
        <v>63</v>
      </c>
      <c r="G245" s="6" t="s">
        <v>26</v>
      </c>
      <c r="H245" s="6" t="s">
        <v>59</v>
      </c>
      <c r="I245" s="7">
        <v>1430</v>
      </c>
      <c r="J245" s="7">
        <v>1430</v>
      </c>
      <c r="K245" s="8">
        <v>50.11</v>
      </c>
      <c r="L245" s="8">
        <v>44.44</v>
      </c>
      <c r="M245" s="8">
        <f t="shared" si="15"/>
        <v>71657.3</v>
      </c>
      <c r="N245" s="8">
        <f t="shared" si="15"/>
        <v>63549.2</v>
      </c>
      <c r="O245" s="8">
        <f t="shared" si="16"/>
        <v>8108.1000000000058</v>
      </c>
      <c r="P245" s="7">
        <f t="shared" si="17"/>
        <v>18</v>
      </c>
      <c r="Q245" s="9" t="str">
        <f t="shared" si="18"/>
        <v>No Prazo</v>
      </c>
      <c r="R245" s="10" t="str">
        <f t="shared" si="19"/>
        <v>Completo</v>
      </c>
    </row>
    <row r="246" spans="1:18" x14ac:dyDescent="0.3">
      <c r="A246" s="4" t="s">
        <v>321</v>
      </c>
      <c r="B246" s="5">
        <v>45612</v>
      </c>
      <c r="C246" s="5">
        <v>45627</v>
      </c>
      <c r="D246" s="5">
        <v>45627</v>
      </c>
      <c r="E246" s="6" t="s">
        <v>24</v>
      </c>
      <c r="F246" s="6" t="s">
        <v>86</v>
      </c>
      <c r="G246" s="6" t="s">
        <v>51</v>
      </c>
      <c r="H246" s="6" t="s">
        <v>48</v>
      </c>
      <c r="I246" s="7">
        <v>935</v>
      </c>
      <c r="J246" s="7">
        <v>935</v>
      </c>
      <c r="K246" s="8">
        <v>216.84</v>
      </c>
      <c r="L246" s="8">
        <v>221.74</v>
      </c>
      <c r="M246" s="8">
        <f t="shared" si="15"/>
        <v>202745.4</v>
      </c>
      <c r="N246" s="8">
        <f t="shared" si="15"/>
        <v>207326.9</v>
      </c>
      <c r="O246" s="8">
        <f t="shared" si="16"/>
        <v>-4581.5</v>
      </c>
      <c r="P246" s="7">
        <f t="shared" si="17"/>
        <v>15</v>
      </c>
      <c r="Q246" s="9" t="str">
        <f t="shared" si="18"/>
        <v>No Prazo</v>
      </c>
      <c r="R246" s="10" t="str">
        <f t="shared" si="19"/>
        <v>Completo</v>
      </c>
    </row>
    <row r="247" spans="1:18" x14ac:dyDescent="0.3">
      <c r="A247" s="4" t="s">
        <v>322</v>
      </c>
      <c r="B247" s="5">
        <v>45619</v>
      </c>
      <c r="C247" s="5">
        <v>45638</v>
      </c>
      <c r="D247" s="5">
        <v>45637</v>
      </c>
      <c r="E247" s="6" t="s">
        <v>66</v>
      </c>
      <c r="F247" s="6" t="s">
        <v>125</v>
      </c>
      <c r="G247" s="6" t="s">
        <v>21</v>
      </c>
      <c r="H247" s="6" t="s">
        <v>48</v>
      </c>
      <c r="I247" s="7">
        <v>1170</v>
      </c>
      <c r="J247" s="7">
        <v>1170</v>
      </c>
      <c r="K247" s="8">
        <v>182.81</v>
      </c>
      <c r="L247" s="8">
        <v>183.24</v>
      </c>
      <c r="M247" s="8">
        <f t="shared" si="15"/>
        <v>213887.7</v>
      </c>
      <c r="N247" s="8">
        <f t="shared" si="15"/>
        <v>214390.80000000002</v>
      </c>
      <c r="O247" s="8">
        <f t="shared" si="16"/>
        <v>-503.10000000000582</v>
      </c>
      <c r="P247" s="7">
        <f t="shared" si="17"/>
        <v>18</v>
      </c>
      <c r="Q247" s="9" t="str">
        <f t="shared" si="18"/>
        <v>No Prazo</v>
      </c>
      <c r="R247" s="10" t="str">
        <f t="shared" si="19"/>
        <v>Completo</v>
      </c>
    </row>
    <row r="248" spans="1:18" x14ac:dyDescent="0.3">
      <c r="A248" s="4" t="s">
        <v>323</v>
      </c>
      <c r="B248" s="5">
        <v>45624</v>
      </c>
      <c r="C248" s="5">
        <v>45636</v>
      </c>
      <c r="D248" s="5">
        <v>45634</v>
      </c>
      <c r="E248" s="6" t="s">
        <v>55</v>
      </c>
      <c r="F248" s="6" t="s">
        <v>75</v>
      </c>
      <c r="G248" s="6" t="s">
        <v>26</v>
      </c>
      <c r="H248" s="6" t="s">
        <v>22</v>
      </c>
      <c r="I248" s="7">
        <v>1065</v>
      </c>
      <c r="J248" s="7">
        <v>672</v>
      </c>
      <c r="K248" s="8">
        <v>337.39</v>
      </c>
      <c r="L248" s="8">
        <v>325.07</v>
      </c>
      <c r="M248" s="8">
        <f t="shared" si="15"/>
        <v>359320.35</v>
      </c>
      <c r="N248" s="8">
        <f t="shared" si="15"/>
        <v>218447.04</v>
      </c>
      <c r="O248" s="8">
        <f t="shared" si="16"/>
        <v>140873.30999999997</v>
      </c>
      <c r="P248" s="7">
        <f t="shared" si="17"/>
        <v>10</v>
      </c>
      <c r="Q248" s="9" t="str">
        <f t="shared" si="18"/>
        <v>No Prazo</v>
      </c>
      <c r="R248" s="10" t="str">
        <f t="shared" si="19"/>
        <v>Incompleto</v>
      </c>
    </row>
    <row r="249" spans="1:18" x14ac:dyDescent="0.3">
      <c r="A249" s="4" t="s">
        <v>324</v>
      </c>
      <c r="B249" s="5">
        <v>45637</v>
      </c>
      <c r="C249" s="5">
        <v>45653</v>
      </c>
      <c r="D249" s="5">
        <v>45653</v>
      </c>
      <c r="E249" s="6" t="s">
        <v>66</v>
      </c>
      <c r="F249" s="6" t="s">
        <v>125</v>
      </c>
      <c r="G249" s="6" t="s">
        <v>51</v>
      </c>
      <c r="H249" s="6" t="s">
        <v>27</v>
      </c>
      <c r="I249" s="7">
        <v>2390</v>
      </c>
      <c r="J249" s="7">
        <v>2390</v>
      </c>
      <c r="K249" s="8">
        <v>371.99</v>
      </c>
      <c r="L249" s="8">
        <v>368.94</v>
      </c>
      <c r="M249" s="8">
        <f t="shared" si="15"/>
        <v>889056.1</v>
      </c>
      <c r="N249" s="8">
        <f t="shared" si="15"/>
        <v>881766.6</v>
      </c>
      <c r="O249" s="8">
        <f t="shared" si="16"/>
        <v>7289.5</v>
      </c>
      <c r="P249" s="7">
        <f t="shared" si="17"/>
        <v>16</v>
      </c>
      <c r="Q249" s="9" t="str">
        <f t="shared" si="18"/>
        <v>No Prazo</v>
      </c>
      <c r="R249" s="10" t="str">
        <f t="shared" si="19"/>
        <v>Completo</v>
      </c>
    </row>
    <row r="250" spans="1:18" x14ac:dyDescent="0.3">
      <c r="A250" s="4" t="s">
        <v>325</v>
      </c>
      <c r="B250" s="5">
        <v>45640</v>
      </c>
      <c r="C250" s="5">
        <v>45651</v>
      </c>
      <c r="D250" s="5">
        <v>45651</v>
      </c>
      <c r="E250" s="6" t="s">
        <v>66</v>
      </c>
      <c r="F250" s="6" t="s">
        <v>141</v>
      </c>
      <c r="G250" s="6" t="s">
        <v>34</v>
      </c>
      <c r="H250" s="6" t="s">
        <v>27</v>
      </c>
      <c r="I250" s="7">
        <v>645</v>
      </c>
      <c r="J250" s="7">
        <v>551</v>
      </c>
      <c r="K250" s="8">
        <v>304.70999999999998</v>
      </c>
      <c r="L250" s="8">
        <v>302.39</v>
      </c>
      <c r="M250" s="8">
        <f t="shared" si="15"/>
        <v>196537.94999999998</v>
      </c>
      <c r="N250" s="8">
        <f t="shared" si="15"/>
        <v>166616.88999999998</v>
      </c>
      <c r="O250" s="8">
        <f t="shared" si="16"/>
        <v>29921.059999999998</v>
      </c>
      <c r="P250" s="7">
        <f t="shared" si="17"/>
        <v>11</v>
      </c>
      <c r="Q250" s="9" t="str">
        <f t="shared" si="18"/>
        <v>No Prazo</v>
      </c>
      <c r="R250" s="10" t="str">
        <f t="shared" si="19"/>
        <v>Incompleto</v>
      </c>
    </row>
    <row r="251" spans="1:18" x14ac:dyDescent="0.3">
      <c r="A251" s="11" t="s">
        <v>326</v>
      </c>
      <c r="B251" s="12">
        <v>45642</v>
      </c>
      <c r="C251" s="12">
        <v>45661</v>
      </c>
      <c r="D251" s="12">
        <v>45660</v>
      </c>
      <c r="E251" s="13" t="s">
        <v>19</v>
      </c>
      <c r="F251" s="13" t="s">
        <v>120</v>
      </c>
      <c r="G251" s="13" t="s">
        <v>51</v>
      </c>
      <c r="H251" s="13" t="s">
        <v>53</v>
      </c>
      <c r="I251" s="14">
        <v>1825</v>
      </c>
      <c r="J251" s="14">
        <v>1315</v>
      </c>
      <c r="K251" s="15">
        <v>69.83</v>
      </c>
      <c r="L251" s="15">
        <v>71.569999999999993</v>
      </c>
      <c r="M251" s="15">
        <f t="shared" si="15"/>
        <v>127439.75</v>
      </c>
      <c r="N251" s="15">
        <f t="shared" si="15"/>
        <v>94114.549999999988</v>
      </c>
      <c r="O251" s="15">
        <f t="shared" si="16"/>
        <v>33325.200000000012</v>
      </c>
      <c r="P251" s="14">
        <f t="shared" si="17"/>
        <v>18</v>
      </c>
      <c r="Q251" s="16" t="str">
        <f t="shared" si="18"/>
        <v>No Prazo</v>
      </c>
      <c r="R251" s="17" t="str">
        <f t="shared" si="19"/>
        <v>Incompleto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Base 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Daiana Tavares</dc:creator>
  <cp:lastModifiedBy>Daiana Tavares</cp:lastModifiedBy>
  <dcterms:created xsi:type="dcterms:W3CDTF">2026-08-05T12:16:37Z</dcterms:created>
  <dcterms:modified xsi:type="dcterms:W3CDTF">2026-08-05T12:44:31Z</dcterms:modified>
</cp:coreProperties>
</file>